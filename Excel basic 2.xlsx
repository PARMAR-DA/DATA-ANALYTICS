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155A28A5-C6FA-44E0-8E28-B9D87216B64F}" xr6:coauthVersionLast="47" xr6:coauthVersionMax="47" xr10:uidLastSave="{00000000-0000-0000-0000-000000000000}"/>
  <bookViews>
    <workbookView xWindow="-120" yWindow="-120" windowWidth="29040" windowHeight="15720" activeTab="1" xr2:uid="{6973A598-77D7-4D5D-BE7A-264F10DF5FA7}"/>
  </bookViews>
  <sheets>
    <sheet name="Sheet1" sheetId="1" r:id="rId1"/>
    <sheet name="Sheet3" sheetId="3" r:id="rId2"/>
  </sheets>
  <definedNames>
    <definedName name="_xlnm._FilterDatabase" localSheetId="0" hidden="1">Sheet1!$A$1:$H$9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4" i="3" l="1"/>
  <c r="C43" i="3"/>
  <c r="C42" i="3"/>
  <c r="C41" i="3"/>
  <c r="F26" i="3"/>
  <c r="F27" i="3"/>
  <c r="F28" i="3"/>
  <c r="F29" i="3"/>
  <c r="F25" i="3"/>
  <c r="B45" i="1"/>
  <c r="B42" i="1"/>
  <c r="B39" i="1"/>
  <c r="B36" i="1"/>
  <c r="B33" i="1"/>
  <c r="R3" i="1"/>
  <c r="X2" i="1" s="1"/>
  <c r="Q3" i="1"/>
  <c r="Y2" i="1"/>
  <c r="L23" i="1"/>
  <c r="O30" i="1"/>
  <c r="O31" i="1" s="1"/>
  <c r="O32" i="1" s="1"/>
  <c r="O33" i="1" s="1"/>
  <c r="O34" i="1" s="1"/>
  <c r="O35" i="1" s="1"/>
  <c r="O36" i="1" s="1"/>
  <c r="V25" i="1"/>
  <c r="U25" i="1"/>
  <c r="T25" i="1"/>
  <c r="S25" i="1"/>
  <c r="R25" i="1"/>
  <c r="Q25" i="1"/>
  <c r="P25" i="1"/>
  <c r="O25" i="1"/>
  <c r="G3" i="1"/>
  <c r="P3" i="1" s="1"/>
  <c r="G4" i="1"/>
  <c r="G5" i="1"/>
  <c r="L20" i="1" s="1"/>
  <c r="G6" i="1"/>
  <c r="S3" i="1" s="1"/>
  <c r="G7" i="1"/>
  <c r="G8" i="1"/>
  <c r="G9" i="1"/>
  <c r="G2" i="1"/>
  <c r="O3" i="1" s="1"/>
  <c r="W2" i="1"/>
  <c r="V2" i="1"/>
  <c r="L14" i="1"/>
  <c r="L17" i="1"/>
  <c r="L11" i="1"/>
  <c r="L8" i="1"/>
  <c r="L5" i="1"/>
  <c r="L2" i="1"/>
</calcChain>
</file>

<file path=xl/sharedStrings.xml><?xml version="1.0" encoding="utf-8"?>
<sst xmlns="http://schemas.openxmlformats.org/spreadsheetml/2006/main" count="310" uniqueCount="161">
  <si>
    <t>E101</t>
  </si>
  <si>
    <t>E102</t>
  </si>
  <si>
    <t>E103</t>
  </si>
  <si>
    <t>E104</t>
  </si>
  <si>
    <t>E105</t>
  </si>
  <si>
    <t>E106</t>
  </si>
  <si>
    <t>E107</t>
  </si>
  <si>
    <t>E108</t>
  </si>
  <si>
    <t>HR</t>
  </si>
  <si>
    <t>IT</t>
  </si>
  <si>
    <t>EmployeeID</t>
  </si>
  <si>
    <t>Name</t>
  </si>
  <si>
    <t>Department</t>
  </si>
  <si>
    <t>Location</t>
  </si>
  <si>
    <t>Salary</t>
  </si>
  <si>
    <t>JoiningYear</t>
  </si>
  <si>
    <t>Rahul Sharma</t>
  </si>
  <si>
    <t>Sales</t>
  </si>
  <si>
    <t>Mumbai</t>
  </si>
  <si>
    <t>Ananya Gupta</t>
  </si>
  <si>
    <t>Delhi</t>
  </si>
  <si>
    <t>Rohit Verma</t>
  </si>
  <si>
    <t>Bangalore</t>
  </si>
  <si>
    <t>Neha Singh</t>
  </si>
  <si>
    <t>Finance</t>
  </si>
  <si>
    <t>Pune</t>
  </si>
  <si>
    <t>Aman Kumar</t>
  </si>
  <si>
    <t>Marketing</t>
  </si>
  <si>
    <t>Pooja Mehta</t>
  </si>
  <si>
    <t>Chennai</t>
  </si>
  <si>
    <t>Suresh Rao</t>
  </si>
  <si>
    <t>Hyderabad</t>
  </si>
  <si>
    <t>Kavita Iyer</t>
  </si>
  <si>
    <t>VLOOKUP Tasks (1–6)</t>
  </si>
  <si>
    <r>
      <t>1. Find the </t>
    </r>
    <r>
      <rPr>
        <sz val="12"/>
        <color rgb="FF1F2328"/>
        <rFont val="Segoe UI"/>
        <family val="2"/>
      </rPr>
      <t>Name</t>
    </r>
    <r>
      <rPr>
        <sz val="12"/>
        <color rgb="FF1F2328"/>
        <rFont val="Segoe UI"/>
        <family val="2"/>
      </rPr>
      <t> of employee 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from </t>
    </r>
    <r>
      <rPr>
        <sz val="10"/>
        <color rgb="FF1F2328"/>
        <rFont val="Consolas"/>
        <family val="3"/>
      </rPr>
      <t>Search_Input</t>
    </r>
    <r>
      <rPr>
        <sz val="12"/>
        <color rgb="FF1F2328"/>
        <rFont val="Segoe UI"/>
        <family val="2"/>
      </rPr>
      <t>.</t>
    </r>
  </si>
  <si>
    <r>
      <t>2. Find the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of employee with ID </t>
    </r>
    <r>
      <rPr>
        <sz val="12"/>
        <color rgb="FF1F2328"/>
        <rFont val="Segoe UI"/>
        <family val="2"/>
      </rPr>
      <t>E103</t>
    </r>
    <r>
      <rPr>
        <sz val="12"/>
        <color rgb="FF1F2328"/>
        <rFont val="Segoe UI"/>
        <family val="2"/>
      </rPr>
      <t>.</t>
    </r>
  </si>
  <si>
    <r>
      <t>3. Find the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Neha Singh</t>
    </r>
    <r>
      <rPr>
        <sz val="12"/>
        <color rgb="FF1F2328"/>
        <rFont val="Segoe UI"/>
        <family val="2"/>
      </rPr>
      <t> using VLOOKUP.</t>
    </r>
  </si>
  <si>
    <r>
      <t>4. Get the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E107</t>
    </r>
    <r>
      <rPr>
        <sz val="12"/>
        <color rgb="FF1F2328"/>
        <rFont val="Segoe UI"/>
        <family val="2"/>
      </rPr>
      <t>.</t>
    </r>
  </si>
  <si>
    <r>
      <t>5. If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is not found, display </t>
    </r>
    <r>
      <rPr>
        <sz val="12"/>
        <color rgb="FF1F2328"/>
        <rFont val="Segoe UI"/>
        <family val="2"/>
      </rPr>
      <t>"Not Found"</t>
    </r>
    <r>
      <rPr>
        <sz val="12"/>
        <color rgb="FF1F2328"/>
        <rFont val="Segoe UI"/>
        <family val="2"/>
      </rPr>
      <t>.</t>
    </r>
  </si>
  <si>
    <r>
      <t>6. Find the </t>
    </r>
    <r>
      <rPr>
        <sz val="12"/>
        <color rgb="FF1F2328"/>
        <rFont val="Segoe UI"/>
        <family val="2"/>
      </rPr>
      <t>JoiningYear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E101</t>
    </r>
    <r>
      <rPr>
        <sz val="12"/>
        <color rgb="FF1F2328"/>
        <rFont val="Segoe UI"/>
        <family val="2"/>
      </rPr>
      <t>.</t>
    </r>
  </si>
  <si>
    <t>E109</t>
  </si>
  <si>
    <t>Bonus %</t>
  </si>
  <si>
    <t>HLOOKUP Tasks (7–10)</t>
  </si>
  <si>
    <r>
      <t>7.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IT</t>
    </r>
    <r>
      <rPr>
        <sz val="12"/>
        <color rgb="FF1F2328"/>
        <rFont val="Segoe UI"/>
        <family val="2"/>
      </rPr>
      <t> department.</t>
    </r>
  </si>
  <si>
    <r>
      <t>8.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Finance</t>
    </r>
    <r>
      <rPr>
        <sz val="12"/>
        <color rgb="FF1F2328"/>
        <rFont val="Segoe UI"/>
        <family val="2"/>
      </rPr>
      <t> department.</t>
    </r>
  </si>
  <si>
    <r>
      <t>9. Calculate </t>
    </r>
    <r>
      <rPr>
        <sz val="12"/>
        <color rgb="FF1F2328"/>
        <rFont val="Segoe UI"/>
        <family val="2"/>
      </rPr>
      <t>Bonus Amount</t>
    </r>
    <r>
      <rPr>
        <sz val="12"/>
        <color rgb="FF1F2328"/>
        <rFont val="Segoe UI"/>
        <family val="2"/>
      </rPr>
      <t> for employee </t>
    </r>
    <r>
      <rPr>
        <sz val="12"/>
        <color rgb="FF1F2328"/>
        <rFont val="Segoe UI"/>
        <family val="2"/>
      </rPr>
      <t>E104</t>
    </r>
  </si>
  <si>
    <t>(Bonus Amount = Salary × Bonus %).</t>
  </si>
  <si>
    <r>
      <t>10. If department is invalid, display </t>
    </r>
    <r>
      <rPr>
        <sz val="12"/>
        <color rgb="FF1F2328"/>
        <rFont val="Segoe UI"/>
        <family val="2"/>
      </rPr>
      <t>"No Bonus Data"</t>
    </r>
    <r>
      <rPr>
        <sz val="12"/>
        <color rgb="FF1F2328"/>
        <rFont val="Segoe UI"/>
        <family val="2"/>
      </rPr>
      <t>.</t>
    </r>
  </si>
  <si>
    <t>E100</t>
  </si>
  <si>
    <t>it</t>
  </si>
  <si>
    <t>Bouns %</t>
  </si>
  <si>
    <t xml:space="preserve">Bouns Amount </t>
  </si>
  <si>
    <t>Bouns Amount</t>
  </si>
  <si>
    <t>Operation</t>
  </si>
  <si>
    <r>
      <t>11. Find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.</t>
    </r>
  </si>
  <si>
    <r>
      <t>12. Find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using </t>
    </r>
    <r>
      <rPr>
        <sz val="12"/>
        <color rgb="FF1F2328"/>
        <rFont val="Segoe UI"/>
        <family val="2"/>
      </rPr>
      <t>Employee Name</t>
    </r>
    <r>
      <rPr>
        <sz val="12"/>
        <color rgb="FF1F2328"/>
        <rFont val="Segoe UI"/>
        <family val="2"/>
      </rPr>
      <t>.</t>
    </r>
  </si>
  <si>
    <r>
      <t>13. Fetch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Rohit Verma</t>
    </r>
    <r>
      <rPr>
        <sz val="12"/>
        <color rgb="FF1F2328"/>
        <rFont val="Segoe UI"/>
        <family val="2"/>
      </rPr>
      <t>.</t>
    </r>
  </si>
  <si>
    <r>
      <t>14. If </t>
    </r>
    <r>
      <rPr>
        <sz val="10"/>
        <color rgb="FF1F2328"/>
        <rFont val="Consolas"/>
        <family val="3"/>
      </rPr>
      <t>EmployeeID = E999</t>
    </r>
    <r>
      <rPr>
        <sz val="12"/>
        <color rgb="FF1F2328"/>
        <rFont val="Segoe UI"/>
        <family val="2"/>
      </rPr>
      <t>, return </t>
    </r>
    <r>
      <rPr>
        <sz val="12"/>
        <color rgb="FF1F2328"/>
        <rFont val="Segoe UI"/>
        <family val="2"/>
      </rPr>
      <t>"Employee Not Found"</t>
    </r>
    <r>
      <rPr>
        <sz val="12"/>
        <color rgb="FF1F2328"/>
        <rFont val="Segoe UI"/>
        <family val="2"/>
      </rPr>
      <t>.</t>
    </r>
  </si>
  <si>
    <r>
      <t>15. Find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using XLOOKUP from </t>
    </r>
    <r>
      <rPr>
        <sz val="10"/>
        <color rgb="FF1F2328"/>
        <rFont val="Consolas"/>
        <family val="3"/>
      </rPr>
      <t>Department_Bonus</t>
    </r>
    <r>
      <rPr>
        <sz val="12"/>
        <color rgb="FF1F2328"/>
        <rFont val="Segoe UI"/>
        <family val="2"/>
      </rPr>
      <t> (horizontal lookup).</t>
    </r>
  </si>
  <si>
    <t>XLOOKUP Tasks (11–15)</t>
  </si>
  <si>
    <t>Task 1: Employee Sheet – Basic Formatting</t>
  </si>
  <si>
    <t>Dataset</t>
  </si>
  <si>
    <t>Employee ID</t>
  </si>
  <si>
    <t>Joining Date</t>
  </si>
  <si>
    <t>Amit Sharma</t>
  </si>
  <si>
    <t>Neha Verma</t>
  </si>
  <si>
    <t>Rahul Mehta</t>
  </si>
  <si>
    <t>Pooja Singh</t>
  </si>
  <si>
    <t>Ankit Patel</t>
  </si>
  <si>
    <t>Task</t>
  </si>
  <si>
    <t>Format header row (Bold, Color)</t>
  </si>
  <si>
    <t>Salary → Currency (₹)</t>
  </si>
  <si>
    <t>Date → Date format</t>
  </si>
  <si>
    <t>Apply borders and auto-fit columns</t>
  </si>
  <si>
    <t>Task 2: Sales Report – Beautification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</si>
  <si>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</si>
  <si>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</si>
  <si>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</si>
  <si>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</si>
  <si>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</si>
  <si>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</si>
  <si>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</si>
  <si>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</si>
  <si>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</si>
  <si>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</si>
  <si>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</si>
  <si>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</si>
  <si>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</si>
  <si>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</si>
  <si>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</si>
  <si>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</si>
  <si>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r>
      <t>Add title </t>
    </r>
    <r>
      <rPr>
        <sz val="12"/>
        <color rgb="FF1F2328"/>
        <rFont val="Segoe UI"/>
        <family val="2"/>
      </rPr>
      <t>Monthly Sales Report</t>
    </r>
  </si>
  <si>
    <t>Merge &amp; center title</t>
  </si>
  <si>
    <t>Wrap text for product names</t>
  </si>
  <si>
    <t>Currency format for sales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</si>
  <si>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</si>
  <si>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</si>
  <si>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</si>
  <si>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</si>
  <si>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</si>
  <si>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</si>
  <si>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</si>
  <si>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</si>
  <si>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</si>
  <si>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</si>
  <si>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</si>
  <si>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</si>
  <si>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Calculate Percentage</t>
  </si>
  <si>
    <t>Format percentage column</t>
  </si>
  <si>
    <t>Apply cell styles to headers</t>
  </si>
  <si>
    <t>Task 4: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</si>
  <si>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</si>
  <si>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</si>
  <si>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</si>
  <si>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</si>
  <si>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</si>
  <si>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</si>
  <si>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</si>
  <si>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Calculate Total Sales</t>
  </si>
  <si>
    <t>Find Average Sales</t>
  </si>
  <si>
    <t>Identify Highest &amp; Lowest Sale</t>
  </si>
  <si>
    <t>TOTAL SALES</t>
  </si>
  <si>
    <t>Task 5: Department-wise Salary Analysis</t>
  </si>
  <si>
    <t>Employee Name</t>
  </si>
  <si>
    <t>Suresh</t>
  </si>
  <si>
    <t>Meena</t>
  </si>
  <si>
    <t>Karan</t>
  </si>
  <si>
    <t>Ritu</t>
  </si>
  <si>
    <t>Aman</t>
  </si>
  <si>
    <t>Neel</t>
  </si>
  <si>
    <t xml:space="preserve"> Identify Lowest Sale</t>
  </si>
  <si>
    <t>Identify Highest</t>
  </si>
  <si>
    <t>Total salary per department</t>
  </si>
  <si>
    <t>Average salary</t>
  </si>
  <si>
    <t>Count employee</t>
  </si>
  <si>
    <t>Task 6: Attendance Sheet – COUNTIF</t>
  </si>
  <si>
    <t>Day 1</t>
  </si>
  <si>
    <t>Day 2</t>
  </si>
  <si>
    <t>P</t>
  </si>
  <si>
    <t>A</t>
  </si>
  <si>
    <t>Count Present days</t>
  </si>
  <si>
    <t>Count Absent days</t>
  </si>
  <si>
    <t>Task 7: Sales Count Logic</t>
  </si>
  <si>
    <t>Order ID</t>
  </si>
  <si>
    <t>O101</t>
  </si>
  <si>
    <t>O102</t>
  </si>
  <si>
    <t>O103</t>
  </si>
  <si>
    <t>O104</t>
  </si>
  <si>
    <t>O105</t>
  </si>
  <si>
    <t>O106</t>
  </si>
  <si>
    <t>Count sales above 10000</t>
  </si>
  <si>
    <t>Count sales below 5000</t>
  </si>
  <si>
    <t>Task 8: Conditional Formatting – Sales</t>
  </si>
  <si>
    <t>Product</t>
  </si>
  <si>
    <t>Mobile</t>
  </si>
  <si>
    <t>Headphones</t>
  </si>
  <si>
    <t>Laptop</t>
  </si>
  <si>
    <t>Keyboard</t>
  </si>
  <si>
    <t>Tablet</t>
  </si>
  <si>
    <t>Highlight sales &gt; 20000 (Green)</t>
  </si>
  <si>
    <t>Highlight sales &lt; 5000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</si>
</sst>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₹&quot;\ #,##0.00"/>
    <numFmt numFmtId="170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sz val="10"/>
      <color rgb="FF1F2328"/>
      <name val="Consolas"/>
      <family val="3"/>
    </font>
    <font>
      <b/>
      <sz val="12"/>
      <color rgb="FF1F2328"/>
      <name val="Segoe UI"/>
      <family val="2"/>
    </font>
    <font>
      <sz val="12"/>
      <name val="Segoe UI"/>
      <family val="2"/>
    </font>
    <font>
      <sz val="13.75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6.5"/>
      <color rgb="FF1F2328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9" fontId="4" fillId="2" borderId="2" xfId="1" applyFont="1" applyFill="1" applyBorder="1" applyAlignment="1">
      <alignment horizontal="center" vertical="center" wrapText="1"/>
    </xf>
    <xf numFmtId="9" fontId="0" fillId="0" borderId="0" xfId="1" applyFont="1"/>
    <xf numFmtId="9" fontId="0" fillId="0" borderId="0" xfId="1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/>
    <xf numFmtId="0" fontId="10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 indent="1"/>
    </xf>
    <xf numFmtId="0" fontId="0" fillId="3" borderId="2" xfId="0" applyFill="1" applyBorder="1" applyAlignment="1">
      <alignment horizontal="left" vertical="center" wrapText="1" indent="1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70" fontId="0" fillId="2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9" fontId="0" fillId="3" borderId="2" xfId="0" applyNumberFormat="1" applyFill="1" applyBorder="1" applyAlignment="1">
      <alignment horizontal="center" vertical="center"/>
    </xf>
    <xf numFmtId="170" fontId="0" fillId="3" borderId="2" xfId="0" applyNumberForma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0" xfId="0" applyBorder="1"/>
    <xf numFmtId="0" fontId="5" fillId="0" borderId="3" xfId="0" applyFont="1" applyBorder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169" fontId="0" fillId="2" borderId="2" xfId="0" applyNumberFormat="1" applyFill="1" applyBorder="1" applyAlignment="1">
      <alignment horizontal="center" vertical="center" wrapText="1"/>
    </xf>
    <xf numFmtId="169" fontId="0" fillId="3" borderId="2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9" fontId="0" fillId="2" borderId="2" xfId="1" applyFont="1" applyFill="1" applyBorder="1" applyAlignment="1">
      <alignment horizontal="left" vertical="center" wrapText="1" indent="1"/>
    </xf>
    <xf numFmtId="0" fontId="9" fillId="0" borderId="4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1093-93A9-42CC-8437-0A1CD916F17F}">
  <dimension ref="A1:Y45"/>
  <sheetViews>
    <sheetView topLeftCell="A16" zoomScale="70" zoomScaleNormal="70" workbookViewId="0">
      <selection activeCell="B45" sqref="B45"/>
    </sheetView>
  </sheetViews>
  <sheetFormatPr defaultRowHeight="15" x14ac:dyDescent="0.25"/>
  <cols>
    <col min="1" max="1" width="28.28515625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0.85546875" bestFit="1" customWidth="1"/>
    <col min="7" max="7" width="18.7109375" bestFit="1" customWidth="1"/>
    <col min="8" max="8" width="14.5703125" bestFit="1" customWidth="1"/>
    <col min="11" max="11" width="15.42578125" bestFit="1" customWidth="1"/>
    <col min="12" max="12" width="18.140625" customWidth="1"/>
    <col min="14" max="14" width="33.5703125" customWidth="1"/>
    <col min="15" max="15" width="15.7109375" bestFit="1" customWidth="1"/>
    <col min="16" max="16" width="15.85546875" bestFit="1" customWidth="1"/>
    <col min="17" max="17" width="14.28515625" bestFit="1" customWidth="1"/>
    <col min="18" max="18" width="13.140625" bestFit="1" customWidth="1"/>
    <col min="19" max="19" width="14.85546875" bestFit="1" customWidth="1"/>
    <col min="20" max="20" width="14.5703125" bestFit="1" customWidth="1"/>
    <col min="21" max="21" width="13" bestFit="1" customWidth="1"/>
    <col min="22" max="22" width="12" bestFit="1" customWidth="1"/>
    <col min="23" max="23" width="15.42578125" customWidth="1"/>
    <col min="24" max="24" width="10.140625" bestFit="1" customWidth="1"/>
    <col min="25" max="25" width="24.5703125" customWidth="1"/>
  </cols>
  <sheetData>
    <row r="1" spans="1:25" ht="17.25" x14ac:dyDescent="0.25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50</v>
      </c>
      <c r="G1" s="11" t="s">
        <v>51</v>
      </c>
      <c r="H1" s="11" t="s">
        <v>15</v>
      </c>
      <c r="K1" s="11" t="s">
        <v>10</v>
      </c>
      <c r="L1" s="11" t="s">
        <v>11</v>
      </c>
      <c r="N1" s="17" t="s">
        <v>12</v>
      </c>
      <c r="O1" s="17" t="s">
        <v>17</v>
      </c>
      <c r="P1" s="17" t="s">
        <v>8</v>
      </c>
      <c r="Q1" s="17" t="s">
        <v>9</v>
      </c>
      <c r="R1" s="17" t="s">
        <v>24</v>
      </c>
      <c r="S1" s="17" t="s">
        <v>27</v>
      </c>
      <c r="V1" s="20" t="s">
        <v>49</v>
      </c>
      <c r="W1" s="21" t="s">
        <v>24</v>
      </c>
      <c r="X1" s="21" t="s">
        <v>24</v>
      </c>
      <c r="Y1" s="21" t="s">
        <v>53</v>
      </c>
    </row>
    <row r="2" spans="1:25" ht="17.25" x14ac:dyDescent="0.25">
      <c r="A2" s="7" t="s">
        <v>0</v>
      </c>
      <c r="B2" s="7" t="s">
        <v>16</v>
      </c>
      <c r="C2" s="7" t="s">
        <v>17</v>
      </c>
      <c r="D2" s="7" t="s">
        <v>18</v>
      </c>
      <c r="E2" s="7">
        <v>45000</v>
      </c>
      <c r="F2" s="12">
        <v>0.1</v>
      </c>
      <c r="G2" s="7">
        <f>E2*F2</f>
        <v>4500</v>
      </c>
      <c r="H2" s="7">
        <v>2019</v>
      </c>
      <c r="K2" s="7" t="s">
        <v>0</v>
      </c>
      <c r="L2" s="8" t="str">
        <f>VLOOKUP($K$2,$A$1:$H$9,2,0)</f>
        <v>Rahul Sharma</v>
      </c>
      <c r="N2" s="18" t="s">
        <v>41</v>
      </c>
      <c r="O2" s="12">
        <v>0.1</v>
      </c>
      <c r="P2" s="12">
        <v>0.08</v>
      </c>
      <c r="Q2" s="12">
        <v>0.12</v>
      </c>
      <c r="R2" s="12">
        <v>0.15</v>
      </c>
      <c r="S2" s="12">
        <v>0.09</v>
      </c>
      <c r="V2" s="13" t="e">
        <f>HLOOKUP(V1,#REF!,2,0)</f>
        <v>#REF!</v>
      </c>
      <c r="W2" s="15" t="e">
        <f>HLOOKUP(W1,#REF!,2,0)</f>
        <v>#REF!</v>
      </c>
      <c r="X2" s="9">
        <f>HLOOKUP(X1,N1:S3,3,0)</f>
        <v>8700</v>
      </c>
      <c r="Y2" s="9" t="str">
        <f>IFERROR(HLOOKUP(Y1,N1:S3,1,FALSE),"NoDataFound")</f>
        <v>NoDataFound</v>
      </c>
    </row>
    <row r="3" spans="1:25" ht="17.25" x14ac:dyDescent="0.25">
      <c r="A3" s="10" t="s">
        <v>1</v>
      </c>
      <c r="B3" s="10" t="s">
        <v>19</v>
      </c>
      <c r="C3" s="10" t="s">
        <v>8</v>
      </c>
      <c r="D3" s="10" t="s">
        <v>20</v>
      </c>
      <c r="E3" s="10">
        <v>52000</v>
      </c>
      <c r="F3" s="12">
        <v>0.08</v>
      </c>
      <c r="G3" s="7">
        <f t="shared" ref="G3:G9" si="0">E3*F3</f>
        <v>4160</v>
      </c>
      <c r="H3" s="10">
        <v>2018</v>
      </c>
      <c r="K3" s="9"/>
      <c r="L3" s="9"/>
      <c r="N3" s="19" t="s">
        <v>52</v>
      </c>
      <c r="O3" s="7">
        <f>G2+G8</f>
        <v>9200</v>
      </c>
      <c r="P3" s="8">
        <f>G3+G9</f>
        <v>8480</v>
      </c>
      <c r="Q3" s="8">
        <f>G4+G7</f>
        <v>15240</v>
      </c>
      <c r="R3" s="8">
        <f>G5</f>
        <v>8700</v>
      </c>
      <c r="S3" s="8">
        <f>G6</f>
        <v>4320</v>
      </c>
    </row>
    <row r="4" spans="1:25" ht="17.25" x14ac:dyDescent="0.25">
      <c r="A4" s="7" t="s">
        <v>2</v>
      </c>
      <c r="B4" s="7" t="s">
        <v>21</v>
      </c>
      <c r="C4" s="7" t="s">
        <v>9</v>
      </c>
      <c r="D4" s="7" t="s">
        <v>22</v>
      </c>
      <c r="E4" s="7">
        <v>65000</v>
      </c>
      <c r="F4" s="12">
        <v>0.12</v>
      </c>
      <c r="G4" s="7">
        <f t="shared" si="0"/>
        <v>7800</v>
      </c>
      <c r="H4" s="7">
        <v>2020</v>
      </c>
      <c r="K4" s="11" t="s">
        <v>10</v>
      </c>
      <c r="L4" s="11" t="s">
        <v>12</v>
      </c>
    </row>
    <row r="5" spans="1:25" ht="17.25" x14ac:dyDescent="0.25">
      <c r="A5" s="10" t="s">
        <v>3</v>
      </c>
      <c r="B5" s="10" t="s">
        <v>23</v>
      </c>
      <c r="C5" s="10" t="s">
        <v>24</v>
      </c>
      <c r="D5" s="10" t="s">
        <v>25</v>
      </c>
      <c r="E5" s="10">
        <v>58000</v>
      </c>
      <c r="F5" s="12">
        <v>0.15</v>
      </c>
      <c r="G5" s="7">
        <f t="shared" si="0"/>
        <v>8700</v>
      </c>
      <c r="H5" s="10">
        <v>2017</v>
      </c>
      <c r="K5" s="7" t="s">
        <v>2</v>
      </c>
      <c r="L5" s="8" t="str">
        <f>VLOOKUP(K5,A1:H9,3,0)</f>
        <v>IT</v>
      </c>
    </row>
    <row r="6" spans="1:25" ht="17.25" x14ac:dyDescent="0.25">
      <c r="A6" s="7" t="s">
        <v>4</v>
      </c>
      <c r="B6" s="7" t="s">
        <v>26</v>
      </c>
      <c r="C6" s="7" t="s">
        <v>27</v>
      </c>
      <c r="D6" s="7" t="s">
        <v>18</v>
      </c>
      <c r="E6" s="7">
        <v>48000</v>
      </c>
      <c r="F6" s="12">
        <v>0.09</v>
      </c>
      <c r="G6" s="7">
        <f t="shared" si="0"/>
        <v>4320</v>
      </c>
      <c r="H6" s="7">
        <v>2021</v>
      </c>
      <c r="K6" s="9"/>
      <c r="L6" s="9"/>
    </row>
    <row r="7" spans="1:25" ht="17.25" x14ac:dyDescent="0.25">
      <c r="A7" s="10" t="s">
        <v>5</v>
      </c>
      <c r="B7" s="10" t="s">
        <v>28</v>
      </c>
      <c r="C7" s="10" t="s">
        <v>9</v>
      </c>
      <c r="D7" s="10" t="s">
        <v>29</v>
      </c>
      <c r="E7" s="10">
        <v>62000</v>
      </c>
      <c r="F7" s="12">
        <v>0.12</v>
      </c>
      <c r="G7" s="7">
        <f t="shared" si="0"/>
        <v>7440</v>
      </c>
      <c r="H7" s="10">
        <v>2019</v>
      </c>
      <c r="K7" s="11" t="s">
        <v>11</v>
      </c>
      <c r="L7" s="11" t="s">
        <v>14</v>
      </c>
    </row>
    <row r="8" spans="1:25" ht="17.25" x14ac:dyDescent="0.25">
      <c r="A8" s="7" t="s">
        <v>6</v>
      </c>
      <c r="B8" s="7" t="s">
        <v>30</v>
      </c>
      <c r="C8" s="7" t="s">
        <v>17</v>
      </c>
      <c r="D8" s="7" t="s">
        <v>31</v>
      </c>
      <c r="E8" s="7">
        <v>47000</v>
      </c>
      <c r="F8" s="12">
        <v>0.1</v>
      </c>
      <c r="G8" s="7">
        <f t="shared" si="0"/>
        <v>4700</v>
      </c>
      <c r="H8" s="7">
        <v>2020</v>
      </c>
      <c r="K8" s="7" t="s">
        <v>16</v>
      </c>
      <c r="L8" s="8">
        <f>VLOOKUP(K8,B2:E9,4,0)</f>
        <v>45000</v>
      </c>
    </row>
    <row r="9" spans="1:25" ht="17.25" x14ac:dyDescent="0.25">
      <c r="A9" s="10" t="s">
        <v>7</v>
      </c>
      <c r="B9" s="10" t="s">
        <v>32</v>
      </c>
      <c r="C9" s="10" t="s">
        <v>8</v>
      </c>
      <c r="D9" s="10" t="s">
        <v>22</v>
      </c>
      <c r="E9" s="10">
        <v>54000</v>
      </c>
      <c r="F9" s="12">
        <v>0.08</v>
      </c>
      <c r="G9" s="7">
        <f t="shared" si="0"/>
        <v>4320</v>
      </c>
      <c r="H9" s="10">
        <v>2016</v>
      </c>
      <c r="K9" s="9"/>
      <c r="L9" s="9"/>
    </row>
    <row r="10" spans="1:25" ht="24.75" x14ac:dyDescent="0.25">
      <c r="K10" s="11" t="s">
        <v>10</v>
      </c>
      <c r="L10" s="11" t="s">
        <v>13</v>
      </c>
      <c r="N10" s="4" t="s">
        <v>42</v>
      </c>
    </row>
    <row r="11" spans="1:25" ht="17.25" x14ac:dyDescent="0.25">
      <c r="K11" s="7" t="s">
        <v>0</v>
      </c>
      <c r="L11" s="7" t="str">
        <f>VLOOKUP(K11,A2:H9,4,0)</f>
        <v>Mumbai</v>
      </c>
      <c r="N11" s="5" t="s">
        <v>43</v>
      </c>
    </row>
    <row r="12" spans="1:25" ht="24.75" customHeight="1" x14ac:dyDescent="0.25">
      <c r="A12" s="4" t="s">
        <v>33</v>
      </c>
      <c r="B12" s="6"/>
      <c r="C12" s="6"/>
      <c r="K12" s="9"/>
      <c r="L12" s="9"/>
      <c r="N12" s="5" t="s">
        <v>44</v>
      </c>
    </row>
    <row r="13" spans="1:25" ht="17.25" customHeight="1" x14ac:dyDescent="0.25">
      <c r="A13" s="5" t="s">
        <v>34</v>
      </c>
      <c r="B13" s="6"/>
      <c r="C13" s="6"/>
      <c r="K13" s="11" t="s">
        <v>10</v>
      </c>
      <c r="L13" s="11" t="s">
        <v>11</v>
      </c>
      <c r="N13" s="5" t="s">
        <v>45</v>
      </c>
    </row>
    <row r="14" spans="1:25" ht="17.25" customHeight="1" x14ac:dyDescent="0.25">
      <c r="A14" s="5" t="s">
        <v>35</v>
      </c>
      <c r="B14" s="6"/>
      <c r="C14" s="6"/>
      <c r="K14" s="7" t="s">
        <v>48</v>
      </c>
      <c r="L14" s="8" t="str">
        <f>IFERROR(VLOOKUP(K14,A1:H9,2,),"NOT FOUND")</f>
        <v>NOT FOUND</v>
      </c>
      <c r="N14" s="5" t="s">
        <v>46</v>
      </c>
    </row>
    <row r="15" spans="1:25" ht="17.25" customHeight="1" x14ac:dyDescent="0.25">
      <c r="A15" s="5" t="s">
        <v>36</v>
      </c>
      <c r="B15" s="6"/>
      <c r="C15" s="6"/>
      <c r="K15" s="9"/>
      <c r="L15" s="9"/>
      <c r="N15" s="5" t="s">
        <v>47</v>
      </c>
    </row>
    <row r="16" spans="1:25" ht="17.25" customHeight="1" x14ac:dyDescent="0.25">
      <c r="A16" s="5" t="s">
        <v>37</v>
      </c>
      <c r="B16" s="6"/>
      <c r="C16" s="6"/>
      <c r="K16" s="11" t="s">
        <v>10</v>
      </c>
      <c r="L16" s="11" t="s">
        <v>15</v>
      </c>
    </row>
    <row r="17" spans="1:22" ht="17.25" customHeight="1" x14ac:dyDescent="0.25">
      <c r="A17" s="5" t="s">
        <v>38</v>
      </c>
      <c r="B17" s="6"/>
      <c r="C17" s="6"/>
      <c r="K17" s="7" t="s">
        <v>0</v>
      </c>
      <c r="L17" s="8">
        <f>VLOOKUP(K17,A2:H9,6,0)</f>
        <v>0.1</v>
      </c>
    </row>
    <row r="18" spans="1:22" ht="17.25" customHeight="1" x14ac:dyDescent="0.25">
      <c r="A18" s="5" t="s">
        <v>39</v>
      </c>
      <c r="B18" s="6"/>
      <c r="C18" s="6"/>
    </row>
    <row r="19" spans="1:22" ht="17.25" x14ac:dyDescent="0.25">
      <c r="K19" s="11" t="s">
        <v>10</v>
      </c>
      <c r="L19" s="11" t="s">
        <v>51</v>
      </c>
      <c r="N19" s="11" t="s">
        <v>10</v>
      </c>
      <c r="O19" s="7" t="s">
        <v>0</v>
      </c>
      <c r="P19" s="10" t="s">
        <v>1</v>
      </c>
      <c r="Q19" s="7" t="s">
        <v>2</v>
      </c>
      <c r="R19" s="10" t="s">
        <v>3</v>
      </c>
      <c r="S19" s="7" t="s">
        <v>4</v>
      </c>
      <c r="T19" s="10" t="s">
        <v>5</v>
      </c>
      <c r="U19" s="7" t="s">
        <v>6</v>
      </c>
      <c r="V19" s="10" t="s">
        <v>7</v>
      </c>
    </row>
    <row r="20" spans="1:22" ht="17.25" x14ac:dyDescent="0.25">
      <c r="K20" s="7" t="s">
        <v>3</v>
      </c>
      <c r="L20">
        <f>VLOOKUP(K20,A2:H9,7,0)</f>
        <v>8700</v>
      </c>
      <c r="N20" s="11" t="s">
        <v>11</v>
      </c>
      <c r="O20" s="7" t="s">
        <v>16</v>
      </c>
      <c r="P20" s="10" t="s">
        <v>19</v>
      </c>
      <c r="Q20" s="7" t="s">
        <v>21</v>
      </c>
      <c r="R20" s="10" t="s">
        <v>23</v>
      </c>
      <c r="S20" s="7" t="s">
        <v>26</v>
      </c>
      <c r="T20" s="10" t="s">
        <v>28</v>
      </c>
      <c r="U20" s="7" t="s">
        <v>30</v>
      </c>
      <c r="V20" s="10" t="s">
        <v>32</v>
      </c>
    </row>
    <row r="21" spans="1:22" ht="17.25" x14ac:dyDescent="0.25">
      <c r="N21" s="11" t="s">
        <v>12</v>
      </c>
      <c r="O21" s="7" t="s">
        <v>17</v>
      </c>
      <c r="P21" s="10" t="s">
        <v>8</v>
      </c>
      <c r="Q21" s="7" t="s">
        <v>9</v>
      </c>
      <c r="R21" s="10" t="s">
        <v>24</v>
      </c>
      <c r="S21" s="7" t="s">
        <v>27</v>
      </c>
      <c r="T21" s="10" t="s">
        <v>9</v>
      </c>
      <c r="U21" s="7" t="s">
        <v>17</v>
      </c>
      <c r="V21" s="10" t="s">
        <v>8</v>
      </c>
    </row>
    <row r="22" spans="1:22" ht="17.25" x14ac:dyDescent="0.25">
      <c r="K22" s="11" t="s">
        <v>10</v>
      </c>
      <c r="L22" s="11" t="s">
        <v>11</v>
      </c>
      <c r="N22" s="11" t="s">
        <v>13</v>
      </c>
      <c r="O22" s="7" t="s">
        <v>18</v>
      </c>
      <c r="P22" s="10" t="s">
        <v>20</v>
      </c>
      <c r="Q22" s="7" t="s">
        <v>22</v>
      </c>
      <c r="R22" s="10" t="s">
        <v>25</v>
      </c>
      <c r="S22" s="7" t="s">
        <v>18</v>
      </c>
      <c r="T22" s="10" t="s">
        <v>29</v>
      </c>
      <c r="U22" s="7" t="s">
        <v>31</v>
      </c>
      <c r="V22" s="10" t="s">
        <v>22</v>
      </c>
    </row>
    <row r="23" spans="1:22" ht="17.25" x14ac:dyDescent="0.25">
      <c r="K23" s="7" t="s">
        <v>2</v>
      </c>
      <c r="L23" t="str">
        <f>VLOOKUP(K23,A1:H9,2,0)</f>
        <v>Rohit Verma</v>
      </c>
      <c r="N23" s="11" t="s">
        <v>14</v>
      </c>
      <c r="O23" s="7">
        <v>45000</v>
      </c>
      <c r="P23" s="10">
        <v>52000</v>
      </c>
      <c r="Q23" s="7">
        <v>65000</v>
      </c>
      <c r="R23" s="10">
        <v>58000</v>
      </c>
      <c r="S23" s="7">
        <v>48000</v>
      </c>
      <c r="T23" s="10">
        <v>62000</v>
      </c>
      <c r="U23" s="7">
        <v>47000</v>
      </c>
      <c r="V23" s="10">
        <v>54000</v>
      </c>
    </row>
    <row r="24" spans="1:22" ht="17.25" x14ac:dyDescent="0.25">
      <c r="M24" s="16"/>
      <c r="N24" s="11" t="s">
        <v>50</v>
      </c>
      <c r="O24" s="12">
        <v>0.1</v>
      </c>
      <c r="P24" s="12">
        <v>0.08</v>
      </c>
      <c r="Q24" s="12">
        <v>0.12</v>
      </c>
      <c r="R24" s="12">
        <v>0.15</v>
      </c>
      <c r="S24" s="12">
        <v>0.09</v>
      </c>
      <c r="T24" s="12">
        <v>0.12</v>
      </c>
      <c r="U24" s="12">
        <v>0.1</v>
      </c>
      <c r="V24" s="12">
        <v>0.08</v>
      </c>
    </row>
    <row r="25" spans="1:22" ht="24.75" x14ac:dyDescent="0.25">
      <c r="A25" s="23" t="s">
        <v>59</v>
      </c>
      <c r="N25" s="11" t="s">
        <v>51</v>
      </c>
      <c r="O25" s="7">
        <f>O23*O24</f>
        <v>4500</v>
      </c>
      <c r="P25" s="7">
        <f>P23*P24</f>
        <v>4160</v>
      </c>
      <c r="Q25" s="7">
        <f>Q23*Q24</f>
        <v>7800</v>
      </c>
      <c r="R25" s="7">
        <f>R23*R24</f>
        <v>8700</v>
      </c>
      <c r="S25" s="7">
        <f>S23*S24</f>
        <v>4320</v>
      </c>
      <c r="T25" s="7">
        <f>T23*T24</f>
        <v>7440</v>
      </c>
      <c r="U25" s="7">
        <f>U23*U24</f>
        <v>4700</v>
      </c>
      <c r="V25" s="7">
        <f>V23*V24</f>
        <v>4320</v>
      </c>
    </row>
    <row r="26" spans="1:22" ht="17.25" x14ac:dyDescent="0.25">
      <c r="A26" s="22" t="s">
        <v>54</v>
      </c>
      <c r="N26" s="11" t="s">
        <v>15</v>
      </c>
      <c r="O26" s="7">
        <v>2019</v>
      </c>
      <c r="P26" s="10">
        <v>2018</v>
      </c>
      <c r="Q26" s="7">
        <v>2020</v>
      </c>
      <c r="R26" s="10">
        <v>2017</v>
      </c>
      <c r="S26" s="7">
        <v>2021</v>
      </c>
      <c r="T26" s="10">
        <v>2019</v>
      </c>
      <c r="U26" s="7">
        <v>2020</v>
      </c>
      <c r="V26" s="10">
        <v>2016</v>
      </c>
    </row>
    <row r="27" spans="1:22" ht="17.25" x14ac:dyDescent="0.25">
      <c r="A27" s="22" t="s">
        <v>55</v>
      </c>
    </row>
    <row r="28" spans="1:22" ht="17.25" x14ac:dyDescent="0.25">
      <c r="A28" s="22" t="s">
        <v>56</v>
      </c>
    </row>
    <row r="29" spans="1:22" ht="17.25" x14ac:dyDescent="0.25">
      <c r="A29" s="22" t="s">
        <v>57</v>
      </c>
      <c r="N29" s="11" t="s">
        <v>10</v>
      </c>
      <c r="O29" s="7" t="s">
        <v>3</v>
      </c>
    </row>
    <row r="30" spans="1:22" ht="17.25" x14ac:dyDescent="0.25">
      <c r="A30" s="22" t="s">
        <v>58</v>
      </c>
      <c r="N30" s="11" t="s">
        <v>11</v>
      </c>
      <c r="O30" s="9" t="str">
        <f>HLOOKUP(O29,N19:V26,2,0)</f>
        <v>Neha Singh</v>
      </c>
    </row>
    <row r="31" spans="1:22" ht="17.25" x14ac:dyDescent="0.25">
      <c r="N31" s="11" t="s">
        <v>12</v>
      </c>
      <c r="O31" s="9" t="str">
        <f t="shared" ref="O31:O36" si="1">HLOOKUP(O30,N20:V27,2,0)</f>
        <v>Finance</v>
      </c>
    </row>
    <row r="32" spans="1:22" ht="17.25" x14ac:dyDescent="0.25">
      <c r="A32" s="11" t="s">
        <v>10</v>
      </c>
      <c r="B32" s="11" t="s">
        <v>14</v>
      </c>
      <c r="N32" s="11" t="s">
        <v>13</v>
      </c>
      <c r="O32" s="9" t="str">
        <f t="shared" si="1"/>
        <v>Pune</v>
      </c>
    </row>
    <row r="33" spans="1:15" ht="17.25" x14ac:dyDescent="0.25">
      <c r="A33" s="7" t="s">
        <v>0</v>
      </c>
      <c r="B33">
        <f>_xlfn.XLOOKUP(A33,A2:A9,E2:E9)</f>
        <v>45000</v>
      </c>
      <c r="N33" s="11" t="s">
        <v>14</v>
      </c>
      <c r="O33" s="9">
        <f t="shared" si="1"/>
        <v>58000</v>
      </c>
    </row>
    <row r="34" spans="1:15" ht="17.25" x14ac:dyDescent="0.25">
      <c r="N34" s="11" t="s">
        <v>50</v>
      </c>
      <c r="O34" s="9">
        <f t="shared" si="1"/>
        <v>0.15</v>
      </c>
    </row>
    <row r="35" spans="1:15" ht="17.25" x14ac:dyDescent="0.25">
      <c r="A35" s="11" t="s">
        <v>11</v>
      </c>
      <c r="B35" s="11" t="s">
        <v>12</v>
      </c>
      <c r="N35" s="11" t="s">
        <v>51</v>
      </c>
      <c r="O35" s="9">
        <f t="shared" si="1"/>
        <v>8700</v>
      </c>
    </row>
    <row r="36" spans="1:15" ht="17.25" x14ac:dyDescent="0.25">
      <c r="A36" s="7" t="s">
        <v>16</v>
      </c>
      <c r="B36" t="str">
        <f>_xlfn.XLOOKUP(A36,B2:B9,C2:C9)</f>
        <v>Sales</v>
      </c>
      <c r="N36" s="11" t="s">
        <v>15</v>
      </c>
      <c r="O36" s="9">
        <f t="shared" si="1"/>
        <v>2017</v>
      </c>
    </row>
    <row r="38" spans="1:15" ht="17.25" x14ac:dyDescent="0.25">
      <c r="A38" s="11" t="s">
        <v>11</v>
      </c>
      <c r="B38" s="11" t="s">
        <v>13</v>
      </c>
    </row>
    <row r="39" spans="1:15" ht="17.25" x14ac:dyDescent="0.25">
      <c r="A39" s="7" t="s">
        <v>21</v>
      </c>
      <c r="B39" t="str">
        <f>_xlfn.XLOOKUP(A39,B2:B9,D2:D9)</f>
        <v>Bangalore</v>
      </c>
    </row>
    <row r="41" spans="1:15" ht="17.25" x14ac:dyDescent="0.25">
      <c r="A41" s="11" t="s">
        <v>10</v>
      </c>
      <c r="B41" s="11" t="s">
        <v>11</v>
      </c>
    </row>
    <row r="42" spans="1:15" ht="17.25" x14ac:dyDescent="0.25">
      <c r="A42" s="7" t="s">
        <v>40</v>
      </c>
      <c r="B42" t="str">
        <f>IFERROR(_xlfn.XLOOKUP(A42,A2:A9,B2:B9),"Employee Not Found")</f>
        <v>Employee Not Found</v>
      </c>
    </row>
    <row r="44" spans="1:15" ht="17.25" x14ac:dyDescent="0.25">
      <c r="A44" s="11" t="s">
        <v>12</v>
      </c>
      <c r="B44" s="11" t="s">
        <v>50</v>
      </c>
    </row>
    <row r="45" spans="1:15" ht="17.25" x14ac:dyDescent="0.25">
      <c r="A45" s="7" t="s">
        <v>17</v>
      </c>
      <c r="B45" s="14">
        <f>_xlfn.XLOOKUP(A45,N1:S1,N2:S2)</f>
        <v>0.1</v>
      </c>
    </row>
  </sheetData>
  <phoneticPr fontId="2" type="noConversion"/>
  <dataValidations disablePrompts="1" count="2">
    <dataValidation type="list" allowBlank="1" showInputMessage="1" showErrorMessage="1" sqref="K2 K5 K11 K17 K23" xr:uid="{943D3484-2E5B-4B8C-8A6F-F3884033FEC2}">
      <formula1>$A$2:$A$9</formula1>
    </dataValidation>
    <dataValidation type="list" allowBlank="1" showInputMessage="1" showErrorMessage="1" sqref="K8" xr:uid="{2D6945BF-AD6E-4EEE-870D-61730A0C119F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CA0E-C180-42B7-9A83-2C55A32DA19F}">
  <dimension ref="A1:I90"/>
  <sheetViews>
    <sheetView tabSelected="1" topLeftCell="A79" workbookViewId="0">
      <selection activeCell="H83" sqref="H83:H85"/>
    </sheetView>
  </sheetViews>
  <sheetFormatPr defaultRowHeight="15" x14ac:dyDescent="0.25"/>
  <cols>
    <col min="1" max="1" width="14" bestFit="1" customWidth="1"/>
    <col min="2" max="2" width="17.85546875" customWidth="1"/>
    <col min="3" max="3" width="14.28515625" customWidth="1"/>
    <col min="4" max="4" width="25.140625" customWidth="1"/>
    <col min="5" max="5" width="22.140625" customWidth="1"/>
    <col min="6" max="6" width="12.85546875" bestFit="1" customWidth="1"/>
  </cols>
  <sheetData>
    <row r="1" spans="1:9" ht="24.75" x14ac:dyDescent="0.25">
      <c r="A1" s="31" t="s">
        <v>60</v>
      </c>
      <c r="B1" s="31"/>
      <c r="C1" s="31"/>
      <c r="D1" s="31"/>
      <c r="E1" s="31"/>
      <c r="H1" s="29" t="s">
        <v>69</v>
      </c>
    </row>
    <row r="2" spans="1:9" ht="21" x14ac:dyDescent="0.25">
      <c r="A2" s="28" t="s">
        <v>61</v>
      </c>
      <c r="B2" s="28"/>
      <c r="C2" s="28"/>
      <c r="D2" s="28"/>
      <c r="E2" s="28"/>
      <c r="H2" s="22" t="s">
        <v>70</v>
      </c>
    </row>
    <row r="3" spans="1:9" ht="17.25" x14ac:dyDescent="0.25">
      <c r="A3" s="30" t="s">
        <v>62</v>
      </c>
      <c r="B3" s="30" t="s">
        <v>11</v>
      </c>
      <c r="C3" s="30" t="s">
        <v>12</v>
      </c>
      <c r="D3" s="30" t="s">
        <v>14</v>
      </c>
      <c r="E3" s="30" t="s">
        <v>63</v>
      </c>
      <c r="H3" s="22" t="s">
        <v>71</v>
      </c>
    </row>
    <row r="4" spans="1:9" ht="17.25" x14ac:dyDescent="0.25">
      <c r="A4" s="32" t="s">
        <v>0</v>
      </c>
      <c r="B4" s="32" t="s">
        <v>64</v>
      </c>
      <c r="C4" s="32" t="s">
        <v>8</v>
      </c>
      <c r="D4" s="33">
        <v>32000</v>
      </c>
      <c r="E4" s="34">
        <v>44573</v>
      </c>
      <c r="H4" s="22" t="s">
        <v>72</v>
      </c>
    </row>
    <row r="5" spans="1:9" ht="17.25" x14ac:dyDescent="0.25">
      <c r="A5" s="35" t="s">
        <v>1</v>
      </c>
      <c r="B5" s="35" t="s">
        <v>65</v>
      </c>
      <c r="C5" s="35" t="s">
        <v>9</v>
      </c>
      <c r="D5" s="36">
        <v>45000</v>
      </c>
      <c r="E5" s="37">
        <v>44260</v>
      </c>
      <c r="H5" s="22" t="s">
        <v>73</v>
      </c>
    </row>
    <row r="6" spans="1:9" x14ac:dyDescent="0.25">
      <c r="A6" s="32" t="s">
        <v>2</v>
      </c>
      <c r="B6" s="32" t="s">
        <v>66</v>
      </c>
      <c r="C6" s="32" t="s">
        <v>24</v>
      </c>
      <c r="D6" s="33">
        <v>38000</v>
      </c>
      <c r="E6" s="34">
        <v>44030</v>
      </c>
    </row>
    <row r="7" spans="1:9" x14ac:dyDescent="0.25">
      <c r="A7" s="35" t="s">
        <v>3</v>
      </c>
      <c r="B7" s="35" t="s">
        <v>67</v>
      </c>
      <c r="C7" s="35" t="s">
        <v>9</v>
      </c>
      <c r="D7" s="36">
        <v>52000</v>
      </c>
      <c r="E7" s="37">
        <v>43779</v>
      </c>
    </row>
    <row r="8" spans="1:9" x14ac:dyDescent="0.25">
      <c r="A8" s="32" t="s">
        <v>4</v>
      </c>
      <c r="B8" s="32" t="s">
        <v>68</v>
      </c>
      <c r="C8" s="32" t="s">
        <v>17</v>
      </c>
      <c r="D8" s="33">
        <v>30000</v>
      </c>
      <c r="E8" s="34">
        <v>45102</v>
      </c>
    </row>
    <row r="12" spans="1:9" ht="29.25" customHeight="1" x14ac:dyDescent="0.25">
      <c r="A12" s="43" t="s">
        <v>74</v>
      </c>
      <c r="B12" s="43"/>
      <c r="C12" s="43"/>
      <c r="D12" s="43"/>
      <c r="E12" s="40"/>
      <c r="H12" s="29" t="s">
        <v>69</v>
      </c>
    </row>
    <row r="13" spans="1:9" ht="21" x14ac:dyDescent="0.25">
      <c r="A13" s="28" t="s">
        <v>61</v>
      </c>
      <c r="B13" s="28"/>
      <c r="C13" s="28"/>
      <c r="D13" s="28"/>
      <c r="E13" s="39"/>
      <c r="H13" s="22" t="s">
        <v>91</v>
      </c>
    </row>
    <row r="14" spans="1:9" ht="30" x14ac:dyDescent="0.25">
      <c r="A14" s="44" t="s">
        <v>75</v>
      </c>
      <c r="B14" s="44" t="s">
        <v>76</v>
      </c>
      <c r="C14" s="44" t="s">
        <v>77</v>
      </c>
      <c r="D14" s="44" t="s">
        <v>78</v>
      </c>
      <c r="E14" s="39"/>
      <c r="H14" s="22" t="s">
        <v>92</v>
      </c>
      <c r="I14" s="39"/>
    </row>
    <row r="15" spans="1:9" ht="30" x14ac:dyDescent="0.25">
      <c r="A15" s="41" t="s">
        <v>79</v>
      </c>
      <c r="B15" s="41" t="s">
        <v>80</v>
      </c>
      <c r="C15" s="45">
        <v>45000</v>
      </c>
      <c r="D15" s="41" t="s">
        <v>81</v>
      </c>
      <c r="E15" s="39"/>
      <c r="H15" s="22" t="s">
        <v>93</v>
      </c>
    </row>
    <row r="16" spans="1:9" ht="30" x14ac:dyDescent="0.25">
      <c r="A16" s="42" t="s">
        <v>82</v>
      </c>
      <c r="B16" s="42" t="s">
        <v>83</v>
      </c>
      <c r="C16" s="46">
        <v>1200</v>
      </c>
      <c r="D16" s="42" t="s">
        <v>84</v>
      </c>
      <c r="E16" s="39"/>
      <c r="H16" s="22" t="s">
        <v>94</v>
      </c>
    </row>
    <row r="17" spans="1:8" ht="30" x14ac:dyDescent="0.25">
      <c r="A17" s="41" t="s">
        <v>85</v>
      </c>
      <c r="B17" s="41" t="s">
        <v>86</v>
      </c>
      <c r="C17" s="45">
        <v>18000</v>
      </c>
      <c r="D17" s="41" t="s">
        <v>87</v>
      </c>
      <c r="E17" s="39"/>
    </row>
    <row r="18" spans="1:8" ht="45" x14ac:dyDescent="0.25">
      <c r="A18" s="42" t="s">
        <v>88</v>
      </c>
      <c r="B18" s="42" t="s">
        <v>89</v>
      </c>
      <c r="C18" s="46">
        <v>62000</v>
      </c>
      <c r="D18" s="42" t="s">
        <v>90</v>
      </c>
      <c r="E18" s="39"/>
    </row>
    <row r="22" spans="1:8" ht="48" customHeight="1" x14ac:dyDescent="0.25">
      <c r="A22" s="49" t="s">
        <v>95</v>
      </c>
      <c r="B22" s="49"/>
      <c r="C22" s="49"/>
      <c r="D22" s="49"/>
      <c r="E22" s="49"/>
      <c r="F22" s="49"/>
      <c r="H22" s="29" t="s">
        <v>69</v>
      </c>
    </row>
    <row r="23" spans="1:8" ht="21" x14ac:dyDescent="0.25">
      <c r="A23" s="28" t="s">
        <v>61</v>
      </c>
      <c r="B23" s="28"/>
      <c r="C23" s="28"/>
      <c r="D23" s="28"/>
      <c r="E23" s="28"/>
      <c r="F23" s="28"/>
      <c r="H23" s="22" t="s">
        <v>107</v>
      </c>
    </row>
    <row r="24" spans="1:8" ht="30" customHeight="1" x14ac:dyDescent="0.25">
      <c r="A24" s="50" t="s">
        <v>96</v>
      </c>
      <c r="B24" s="50" t="s">
        <v>97</v>
      </c>
      <c r="C24" s="50" t="s">
        <v>98</v>
      </c>
      <c r="D24" s="50" t="s">
        <v>99</v>
      </c>
      <c r="E24" s="50" t="s">
        <v>100</v>
      </c>
      <c r="F24" s="50" t="s">
        <v>101</v>
      </c>
      <c r="H24" s="22" t="s">
        <v>108</v>
      </c>
    </row>
    <row r="25" spans="1:8" ht="17.25" x14ac:dyDescent="0.25">
      <c r="A25" s="26">
        <v>1</v>
      </c>
      <c r="B25" s="26" t="s">
        <v>102</v>
      </c>
      <c r="C25" s="26">
        <v>78</v>
      </c>
      <c r="D25" s="26">
        <v>82</v>
      </c>
      <c r="E25" s="26">
        <v>74</v>
      </c>
      <c r="F25" s="51">
        <f>(C25+D25+E25)/300</f>
        <v>0.78</v>
      </c>
      <c r="H25" s="22" t="s">
        <v>109</v>
      </c>
    </row>
    <row r="26" spans="1:8" x14ac:dyDescent="0.25">
      <c r="A26" s="27">
        <v>2</v>
      </c>
      <c r="B26" s="27" t="s">
        <v>103</v>
      </c>
      <c r="C26" s="27">
        <v>65</v>
      </c>
      <c r="D26" s="27">
        <v>70</v>
      </c>
      <c r="E26" s="27">
        <v>68</v>
      </c>
      <c r="F26" s="51">
        <f t="shared" ref="F26:F29" si="0">(C26+D26+E26)/300</f>
        <v>0.67666666666666664</v>
      </c>
    </row>
    <row r="27" spans="1:8" x14ac:dyDescent="0.25">
      <c r="A27" s="26">
        <v>3</v>
      </c>
      <c r="B27" s="26" t="s">
        <v>104</v>
      </c>
      <c r="C27" s="26">
        <v>90</v>
      </c>
      <c r="D27" s="26">
        <v>88</v>
      </c>
      <c r="E27" s="26">
        <v>92</v>
      </c>
      <c r="F27" s="51">
        <f t="shared" si="0"/>
        <v>0.9</v>
      </c>
    </row>
    <row r="28" spans="1:8" x14ac:dyDescent="0.25">
      <c r="A28" s="27">
        <v>4</v>
      </c>
      <c r="B28" s="27" t="s">
        <v>105</v>
      </c>
      <c r="C28" s="27">
        <v>35</v>
      </c>
      <c r="D28" s="27">
        <v>40</v>
      </c>
      <c r="E28" s="27">
        <v>38</v>
      </c>
      <c r="F28" s="51">
        <f t="shared" si="0"/>
        <v>0.37666666666666665</v>
      </c>
    </row>
    <row r="29" spans="1:8" x14ac:dyDescent="0.25">
      <c r="A29" s="26">
        <v>5</v>
      </c>
      <c r="B29" s="26" t="s">
        <v>106</v>
      </c>
      <c r="C29" s="26">
        <v>55</v>
      </c>
      <c r="D29" s="26">
        <v>60</v>
      </c>
      <c r="E29" s="26">
        <v>58</v>
      </c>
      <c r="F29" s="51">
        <f t="shared" si="0"/>
        <v>0.57666666666666666</v>
      </c>
    </row>
    <row r="33" spans="1:8" ht="47.25" customHeight="1" x14ac:dyDescent="0.25">
      <c r="A33" s="53" t="s">
        <v>110</v>
      </c>
      <c r="B33" s="53"/>
      <c r="C33" s="53"/>
      <c r="H33" s="29" t="s">
        <v>69</v>
      </c>
    </row>
    <row r="34" spans="1:8" ht="21" x14ac:dyDescent="0.25">
      <c r="A34" s="38" t="s">
        <v>61</v>
      </c>
      <c r="B34" s="38"/>
      <c r="C34" s="38"/>
      <c r="H34" s="22" t="s">
        <v>118</v>
      </c>
    </row>
    <row r="35" spans="1:8" ht="30" x14ac:dyDescent="0.25">
      <c r="A35" s="54" t="s">
        <v>111</v>
      </c>
      <c r="B35" s="54" t="s">
        <v>112</v>
      </c>
      <c r="C35" s="54" t="s">
        <v>77</v>
      </c>
      <c r="H35" s="22" t="s">
        <v>119</v>
      </c>
    </row>
    <row r="36" spans="1:8" ht="17.25" x14ac:dyDescent="0.25">
      <c r="A36" s="41" t="s">
        <v>113</v>
      </c>
      <c r="B36" s="55">
        <v>45292</v>
      </c>
      <c r="C36" s="41">
        <v>12000</v>
      </c>
      <c r="H36" s="22" t="s">
        <v>120</v>
      </c>
    </row>
    <row r="37" spans="1:8" x14ac:dyDescent="0.25">
      <c r="A37" s="42" t="s">
        <v>114</v>
      </c>
      <c r="B37" s="56">
        <v>45294</v>
      </c>
      <c r="C37" s="42">
        <v>25000</v>
      </c>
    </row>
    <row r="38" spans="1:8" x14ac:dyDescent="0.25">
      <c r="A38" s="41" t="s">
        <v>115</v>
      </c>
      <c r="B38" s="55">
        <v>45296</v>
      </c>
      <c r="C38" s="41">
        <v>8000</v>
      </c>
    </row>
    <row r="39" spans="1:8" x14ac:dyDescent="0.25">
      <c r="A39" s="42" t="s">
        <v>116</v>
      </c>
      <c r="B39" s="56">
        <v>45299</v>
      </c>
      <c r="C39" s="42">
        <v>32000</v>
      </c>
    </row>
    <row r="40" spans="1:8" x14ac:dyDescent="0.25">
      <c r="A40" s="41" t="s">
        <v>117</v>
      </c>
      <c r="B40" s="55">
        <v>45301</v>
      </c>
      <c r="C40" s="41">
        <v>15000</v>
      </c>
    </row>
    <row r="41" spans="1:8" ht="15.75" thickBot="1" x14ac:dyDescent="0.3">
      <c r="A41" s="58" t="s">
        <v>121</v>
      </c>
      <c r="B41" s="59"/>
      <c r="C41" s="57">
        <f>SUM(C36:C40)</f>
        <v>92000</v>
      </c>
    </row>
    <row r="42" spans="1:8" ht="16.5" thickTop="1" thickBot="1" x14ac:dyDescent="0.3">
      <c r="A42" s="58" t="s">
        <v>119</v>
      </c>
      <c r="B42" s="59"/>
      <c r="C42" s="57">
        <f>AVERAGE(C36:C40)</f>
        <v>18400</v>
      </c>
    </row>
    <row r="43" spans="1:8" ht="16.5" thickTop="1" thickBot="1" x14ac:dyDescent="0.3">
      <c r="A43" s="58" t="s">
        <v>131</v>
      </c>
      <c r="B43" s="59"/>
      <c r="C43" s="57">
        <f>MAX(C36:C40)</f>
        <v>32000</v>
      </c>
    </row>
    <row r="44" spans="1:8" ht="16.5" thickTop="1" thickBot="1" x14ac:dyDescent="0.3">
      <c r="A44" s="58" t="s">
        <v>130</v>
      </c>
      <c r="B44" s="59"/>
      <c r="C44" s="57">
        <f>MIN(C36:C40)</f>
        <v>8000</v>
      </c>
    </row>
    <row r="45" spans="1:8" s="24" customFormat="1" ht="15.75" thickTop="1" x14ac:dyDescent="0.25"/>
    <row r="46" spans="1:8" s="24" customFormat="1" x14ac:dyDescent="0.25"/>
    <row r="47" spans="1:8" s="24" customFormat="1" x14ac:dyDescent="0.25"/>
    <row r="48" spans="1:8" s="24" customFormat="1" x14ac:dyDescent="0.25"/>
    <row r="49" spans="1:8" ht="57.75" customHeight="1" x14ac:dyDescent="0.25">
      <c r="A49" s="60" t="s">
        <v>122</v>
      </c>
      <c r="B49" s="60"/>
      <c r="C49" s="60"/>
      <c r="H49" s="29" t="s">
        <v>69</v>
      </c>
    </row>
    <row r="50" spans="1:8" ht="21.75" thickBot="1" x14ac:dyDescent="0.3">
      <c r="A50" s="52" t="s">
        <v>61</v>
      </c>
      <c r="B50" s="52"/>
      <c r="C50" s="52"/>
      <c r="H50" s="22" t="s">
        <v>132</v>
      </c>
    </row>
    <row r="51" spans="1:8" ht="30.75" thickBot="1" x14ac:dyDescent="0.3">
      <c r="A51" s="61" t="s">
        <v>123</v>
      </c>
      <c r="B51" s="61" t="s">
        <v>12</v>
      </c>
      <c r="C51" s="61" t="s">
        <v>14</v>
      </c>
      <c r="H51" s="22" t="s">
        <v>133</v>
      </c>
    </row>
    <row r="52" spans="1:8" ht="18" thickBot="1" x14ac:dyDescent="0.3">
      <c r="A52" s="1" t="s">
        <v>124</v>
      </c>
      <c r="B52" s="1" t="s">
        <v>8</v>
      </c>
      <c r="C52" s="1">
        <v>28000</v>
      </c>
      <c r="H52" s="22" t="s">
        <v>134</v>
      </c>
    </row>
    <row r="53" spans="1:8" ht="15.75" thickBot="1" x14ac:dyDescent="0.3">
      <c r="A53" s="62" t="s">
        <v>125</v>
      </c>
      <c r="B53" s="62" t="s">
        <v>9</v>
      </c>
      <c r="C53" s="62">
        <v>45000</v>
      </c>
    </row>
    <row r="54" spans="1:8" ht="15.75" thickBot="1" x14ac:dyDescent="0.3">
      <c r="A54" s="1" t="s">
        <v>126</v>
      </c>
      <c r="B54" s="1" t="s">
        <v>9</v>
      </c>
      <c r="C54" s="1">
        <v>50000</v>
      </c>
    </row>
    <row r="55" spans="1:8" ht="15.75" thickBot="1" x14ac:dyDescent="0.3">
      <c r="A55" s="62" t="s">
        <v>127</v>
      </c>
      <c r="B55" s="62" t="s">
        <v>24</v>
      </c>
      <c r="C55" s="62">
        <v>42000</v>
      </c>
    </row>
    <row r="56" spans="1:8" ht="15.75" thickBot="1" x14ac:dyDescent="0.3">
      <c r="A56" s="1" t="s">
        <v>128</v>
      </c>
      <c r="B56" s="1" t="s">
        <v>8</v>
      </c>
      <c r="C56" s="1">
        <v>30000</v>
      </c>
    </row>
    <row r="57" spans="1:8" ht="15.75" thickBot="1" x14ac:dyDescent="0.3">
      <c r="A57" s="62" t="s">
        <v>129</v>
      </c>
      <c r="B57" s="62" t="s">
        <v>24</v>
      </c>
      <c r="C57" s="62">
        <v>38000</v>
      </c>
    </row>
    <row r="61" spans="1:8" ht="47.25" customHeight="1" x14ac:dyDescent="0.25">
      <c r="A61" s="63" t="s">
        <v>135</v>
      </c>
      <c r="B61" s="63"/>
      <c r="C61" s="63"/>
      <c r="H61" s="29" t="s">
        <v>69</v>
      </c>
    </row>
    <row r="62" spans="1:8" ht="21.75" thickBot="1" x14ac:dyDescent="0.3">
      <c r="A62" s="52" t="s">
        <v>61</v>
      </c>
      <c r="B62" s="52"/>
      <c r="C62" s="52"/>
      <c r="H62" s="22" t="s">
        <v>140</v>
      </c>
    </row>
    <row r="63" spans="1:8" ht="30.75" thickBot="1" x14ac:dyDescent="0.3">
      <c r="A63" s="64" t="s">
        <v>97</v>
      </c>
      <c r="B63" s="64" t="s">
        <v>136</v>
      </c>
      <c r="C63" s="64" t="s">
        <v>137</v>
      </c>
      <c r="H63" s="22" t="s">
        <v>141</v>
      </c>
    </row>
    <row r="64" spans="1:8" ht="15.75" thickBot="1" x14ac:dyDescent="0.3">
      <c r="A64" s="1" t="s">
        <v>102</v>
      </c>
      <c r="B64" s="1" t="s">
        <v>138</v>
      </c>
      <c r="C64" s="1" t="s">
        <v>139</v>
      </c>
    </row>
    <row r="65" spans="1:8" ht="15.75" thickBot="1" x14ac:dyDescent="0.3">
      <c r="A65" s="62" t="s">
        <v>103</v>
      </c>
      <c r="B65" s="62" t="s">
        <v>138</v>
      </c>
      <c r="C65" s="62" t="s">
        <v>138</v>
      </c>
    </row>
    <row r="66" spans="1:8" ht="15.75" thickBot="1" x14ac:dyDescent="0.3">
      <c r="A66" s="1" t="s">
        <v>104</v>
      </c>
      <c r="B66" s="1" t="s">
        <v>139</v>
      </c>
      <c r="C66" s="1" t="s">
        <v>138</v>
      </c>
    </row>
    <row r="67" spans="1:8" ht="15.75" thickBot="1" x14ac:dyDescent="0.3">
      <c r="A67" s="62" t="s">
        <v>105</v>
      </c>
      <c r="B67" s="62" t="s">
        <v>138</v>
      </c>
      <c r="C67" s="62" t="s">
        <v>139</v>
      </c>
    </row>
    <row r="71" spans="1:8" ht="45" customHeight="1" x14ac:dyDescent="0.25">
      <c r="A71" s="47" t="s">
        <v>142</v>
      </c>
      <c r="B71" s="47"/>
      <c r="H71" s="29" t="s">
        <v>69</v>
      </c>
    </row>
    <row r="72" spans="1:8" ht="21.75" thickBot="1" x14ac:dyDescent="0.3">
      <c r="A72" s="52" t="s">
        <v>61</v>
      </c>
      <c r="B72" s="52"/>
      <c r="H72" s="22" t="s">
        <v>150</v>
      </c>
    </row>
    <row r="73" spans="1:8" ht="18" thickBot="1" x14ac:dyDescent="0.3">
      <c r="A73" s="25" t="s">
        <v>143</v>
      </c>
      <c r="B73" s="25" t="s">
        <v>77</v>
      </c>
      <c r="H73" s="22" t="s">
        <v>151</v>
      </c>
    </row>
    <row r="74" spans="1:8" ht="15.75" thickBot="1" x14ac:dyDescent="0.3">
      <c r="A74" s="2" t="s">
        <v>144</v>
      </c>
      <c r="B74" s="2">
        <v>4500</v>
      </c>
    </row>
    <row r="75" spans="1:8" ht="15.75" thickBot="1" x14ac:dyDescent="0.3">
      <c r="A75" s="3" t="s">
        <v>145</v>
      </c>
      <c r="B75" s="3">
        <v>12000</v>
      </c>
    </row>
    <row r="76" spans="1:8" ht="15.75" thickBot="1" x14ac:dyDescent="0.3">
      <c r="A76" s="2" t="s">
        <v>146</v>
      </c>
      <c r="B76" s="2">
        <v>8000</v>
      </c>
    </row>
    <row r="77" spans="1:8" ht="15.75" thickBot="1" x14ac:dyDescent="0.3">
      <c r="A77" s="3" t="s">
        <v>147</v>
      </c>
      <c r="B77" s="3">
        <v>25000</v>
      </c>
    </row>
    <row r="78" spans="1:8" ht="15.75" thickBot="1" x14ac:dyDescent="0.3">
      <c r="A78" s="2" t="s">
        <v>148</v>
      </c>
      <c r="B78" s="2">
        <v>3000</v>
      </c>
    </row>
    <row r="79" spans="1:8" ht="15.75" thickBot="1" x14ac:dyDescent="0.3">
      <c r="A79" s="3" t="s">
        <v>149</v>
      </c>
      <c r="B79" s="3">
        <v>15000</v>
      </c>
    </row>
    <row r="83" spans="1:8" ht="76.5" customHeight="1" x14ac:dyDescent="0.25">
      <c r="A83" s="47" t="s">
        <v>152</v>
      </c>
      <c r="B83" s="47"/>
      <c r="H83" s="29" t="s">
        <v>69</v>
      </c>
    </row>
    <row r="84" spans="1:8" ht="21.75" thickBot="1" x14ac:dyDescent="0.3">
      <c r="A84" s="48" t="s">
        <v>61</v>
      </c>
      <c r="B84" s="48"/>
      <c r="H84" s="22" t="s">
        <v>159</v>
      </c>
    </row>
    <row r="85" spans="1:8" ht="18" thickBot="1" x14ac:dyDescent="0.3">
      <c r="A85" s="25" t="s">
        <v>153</v>
      </c>
      <c r="B85" s="25" t="s">
        <v>77</v>
      </c>
      <c r="H85" s="22" t="s">
        <v>160</v>
      </c>
    </row>
    <row r="86" spans="1:8" ht="15.75" thickBot="1" x14ac:dyDescent="0.3">
      <c r="A86" s="2" t="s">
        <v>154</v>
      </c>
      <c r="B86" s="2">
        <v>22000</v>
      </c>
    </row>
    <row r="87" spans="1:8" ht="15.75" thickBot="1" x14ac:dyDescent="0.3">
      <c r="A87" s="3" t="s">
        <v>155</v>
      </c>
      <c r="B87" s="3">
        <v>3500</v>
      </c>
    </row>
    <row r="88" spans="1:8" ht="15.75" thickBot="1" x14ac:dyDescent="0.3">
      <c r="A88" s="2" t="s">
        <v>156</v>
      </c>
      <c r="B88" s="2">
        <v>58000</v>
      </c>
    </row>
    <row r="89" spans="1:8" ht="15.75" thickBot="1" x14ac:dyDescent="0.3">
      <c r="A89" s="3" t="s">
        <v>157</v>
      </c>
      <c r="B89" s="3">
        <v>1800</v>
      </c>
    </row>
    <row r="90" spans="1:8" ht="15.75" thickBot="1" x14ac:dyDescent="0.3">
      <c r="A90" s="2" t="s">
        <v>158</v>
      </c>
      <c r="B90" s="2">
        <v>12000</v>
      </c>
    </row>
  </sheetData>
  <mergeCells count="20">
    <mergeCell ref="A84:B84"/>
    <mergeCell ref="A50:C50"/>
    <mergeCell ref="A61:C61"/>
    <mergeCell ref="A62:C62"/>
    <mergeCell ref="A71:B71"/>
    <mergeCell ref="A72:B72"/>
    <mergeCell ref="A83:B83"/>
    <mergeCell ref="A23:F23"/>
    <mergeCell ref="A33:C33"/>
    <mergeCell ref="A34:C34"/>
    <mergeCell ref="A41:B41"/>
    <mergeCell ref="A49:C49"/>
    <mergeCell ref="A42:B42"/>
    <mergeCell ref="A43:B43"/>
    <mergeCell ref="A44:B44"/>
    <mergeCell ref="A1:E1"/>
    <mergeCell ref="A2:E2"/>
    <mergeCell ref="A12:D12"/>
    <mergeCell ref="A13:D13"/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ASDC13</dc:creator>
  <cp:lastModifiedBy>ASDC13</cp:lastModifiedBy>
  <dcterms:created xsi:type="dcterms:W3CDTF">2026-02-01T04:54:08Z</dcterms:created>
  <dcterms:modified xsi:type="dcterms:W3CDTF">2026-02-01T07:46:35Z</dcterms:modified>
</cp:coreProperties>
</file>