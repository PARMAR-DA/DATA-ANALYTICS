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EF0F1347-AEA6-4BF1-AE20-D62D6516C3D9}" xr6:coauthVersionLast="47" xr6:coauthVersionMax="47" xr10:uidLastSave="{00000000-0000-0000-0000-000000000000}"/>
  <bookViews>
    <workbookView xWindow="-120" yWindow="-120" windowWidth="29040" windowHeight="15720" activeTab="2" xr2:uid="{8B2304E8-94D1-46C2-8513-AA583981C95C}"/>
  </bookViews>
  <sheets>
    <sheet name="Basic data entry" sheetId="1" r:id="rId1"/>
    <sheet name="basic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2" i="3"/>
  <c r="I3" i="3"/>
  <c r="I4" i="3"/>
  <c r="I5" i="3"/>
  <c r="I6" i="3"/>
  <c r="I7" i="3"/>
  <c r="I8" i="3"/>
  <c r="I9" i="3"/>
  <c r="I10" i="3"/>
  <c r="I11" i="3"/>
  <c r="I2" i="3"/>
  <c r="H3" i="3"/>
  <c r="H4" i="3"/>
  <c r="H5" i="3"/>
  <c r="H6" i="3"/>
  <c r="H7" i="3"/>
  <c r="H8" i="3"/>
  <c r="H9" i="3"/>
  <c r="H10" i="3"/>
  <c r="H11" i="3"/>
  <c r="H2" i="3"/>
  <c r="G3" i="3"/>
  <c r="G4" i="3"/>
  <c r="G5" i="3"/>
  <c r="G6" i="3"/>
  <c r="G7" i="3"/>
  <c r="G8" i="3"/>
  <c r="G9" i="3"/>
  <c r="G10" i="3"/>
  <c r="G11" i="3"/>
  <c r="G2" i="3"/>
  <c r="D2" i="2"/>
  <c r="D3" i="2"/>
  <c r="D4" i="2"/>
  <c r="D5" i="2"/>
  <c r="D6" i="2"/>
  <c r="D7" i="2"/>
  <c r="D8" i="2"/>
  <c r="D9" i="2"/>
  <c r="D10" i="2"/>
  <c r="D11" i="2"/>
  <c r="F12" i="1"/>
</calcChain>
</file>

<file path=xl/sharedStrings.xml><?xml version="1.0" encoding="utf-8"?>
<sst xmlns="http://schemas.openxmlformats.org/spreadsheetml/2006/main" count="162" uniqueCount="80">
  <si>
    <t>Sr no.</t>
  </si>
  <si>
    <t>Name</t>
  </si>
  <si>
    <t>Age</t>
  </si>
  <si>
    <t>Mail id</t>
  </si>
  <si>
    <t>Amit</t>
  </si>
  <si>
    <t>Ajay</t>
  </si>
  <si>
    <t>Darshil</t>
  </si>
  <si>
    <t>Meet</t>
  </si>
  <si>
    <t>Dilip</t>
  </si>
  <si>
    <t>Neel</t>
  </si>
  <si>
    <t>Tarang</t>
  </si>
  <si>
    <t>Smit</t>
  </si>
  <si>
    <t>Jay</t>
  </si>
  <si>
    <t>Vijay</t>
  </si>
  <si>
    <t>amit@gmail.com</t>
  </si>
  <si>
    <t>ajay@gmail.com</t>
  </si>
  <si>
    <t>darshil@gmail.com</t>
  </si>
  <si>
    <t>meet@gmail.com</t>
  </si>
  <si>
    <t>dilip@gmail.com</t>
  </si>
  <si>
    <t>neel@gmail.com</t>
  </si>
  <si>
    <t>tarang@gmail.com</t>
  </si>
  <si>
    <t>smit@gmail.com</t>
  </si>
  <si>
    <t>jay@gmail.com</t>
  </si>
  <si>
    <t>vijay@gmial.com</t>
  </si>
  <si>
    <t>Salary</t>
  </si>
  <si>
    <t xml:space="preserve">Total </t>
  </si>
  <si>
    <t>Last name</t>
  </si>
  <si>
    <t>First Name</t>
  </si>
  <si>
    <t>Patel</t>
  </si>
  <si>
    <t>Parekh</t>
  </si>
  <si>
    <t>Parmar</t>
  </si>
  <si>
    <t>Soni</t>
  </si>
  <si>
    <t>Verma</t>
  </si>
  <si>
    <t>Thakkar</t>
  </si>
  <si>
    <t>Shah</t>
  </si>
  <si>
    <t>Sheth</t>
  </si>
  <si>
    <t>Jami</t>
  </si>
  <si>
    <t>Naik</t>
  </si>
  <si>
    <t>Name Joint</t>
  </si>
  <si>
    <t>Split Name</t>
  </si>
  <si>
    <t>Amit Patel</t>
  </si>
  <si>
    <t>Ajay Parekh</t>
  </si>
  <si>
    <t>Darshil Parmar</t>
  </si>
  <si>
    <t>Meet Soni</t>
  </si>
  <si>
    <t>Dilip Verma</t>
  </si>
  <si>
    <t>Neel Thakkar</t>
  </si>
  <si>
    <t>Tarang Shah</t>
  </si>
  <si>
    <t>Smit Sheth</t>
  </si>
  <si>
    <t>Jay Jami</t>
  </si>
  <si>
    <t>Vijay Naik</t>
  </si>
  <si>
    <t>MAIL ID</t>
  </si>
  <si>
    <t>User Name</t>
  </si>
  <si>
    <t>Domain</t>
  </si>
  <si>
    <t>Top Value Domain</t>
  </si>
  <si>
    <t>amit</t>
  </si>
  <si>
    <t>ajay</t>
  </si>
  <si>
    <t>darshil</t>
  </si>
  <si>
    <t>meet</t>
  </si>
  <si>
    <t>dilip</t>
  </si>
  <si>
    <t>neel</t>
  </si>
  <si>
    <t>tarang</t>
  </si>
  <si>
    <t>smit</t>
  </si>
  <si>
    <t>jay</t>
  </si>
  <si>
    <t>vijay</t>
  </si>
  <si>
    <t>gmail</t>
  </si>
  <si>
    <t>com</t>
  </si>
  <si>
    <t>vijay@gmail.com</t>
  </si>
  <si>
    <t>Contect no.</t>
  </si>
  <si>
    <t>Name as value</t>
  </si>
  <si>
    <t>text to columns</t>
  </si>
  <si>
    <t>NAME</t>
  </si>
  <si>
    <t>Gujarati</t>
  </si>
  <si>
    <t>Hindi</t>
  </si>
  <si>
    <t>English</t>
  </si>
  <si>
    <t>Sanskrit</t>
  </si>
  <si>
    <t>Maths</t>
  </si>
  <si>
    <t>Total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</si>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</sst>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2" applyFill="1" applyBorder="1" applyAlignment="1">
      <alignment horizontal="center"/>
    </xf>
    <xf numFmtId="0" fontId="3" fillId="6" borderId="1" xfId="2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/>
    </xf>
    <xf numFmtId="43" fontId="3" fillId="6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mit@gmail.com" TargetMode="External"/><Relationship Id="rId3" Type="http://schemas.openxmlformats.org/officeDocument/2006/relationships/hyperlink" Target="mailto:ajay@gmail.com" TargetMode="External"/><Relationship Id="rId7" Type="http://schemas.openxmlformats.org/officeDocument/2006/relationships/hyperlink" Target="mailto:tarang@gmail.com" TargetMode="External"/><Relationship Id="rId2" Type="http://schemas.openxmlformats.org/officeDocument/2006/relationships/hyperlink" Target="mailto:darshil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neel@gmail.com" TargetMode="External"/><Relationship Id="rId5" Type="http://schemas.openxmlformats.org/officeDocument/2006/relationships/hyperlink" Target="mailto:dilip@gmail.com" TargetMode="External"/><Relationship Id="rId10" Type="http://schemas.openxmlformats.org/officeDocument/2006/relationships/hyperlink" Target="mailto:vijay@gmial.com" TargetMode="External"/><Relationship Id="rId4" Type="http://schemas.openxmlformats.org/officeDocument/2006/relationships/hyperlink" Target="mailto:meet@gmail.com" TargetMode="External"/><Relationship Id="rId9" Type="http://schemas.openxmlformats.org/officeDocument/2006/relationships/hyperlink" Target="mailto:jay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mit@gmail.com" TargetMode="External"/><Relationship Id="rId13" Type="http://schemas.openxmlformats.org/officeDocument/2006/relationships/hyperlink" Target="mailto:ajay@gmail.com" TargetMode="External"/><Relationship Id="rId18" Type="http://schemas.openxmlformats.org/officeDocument/2006/relationships/hyperlink" Target="mailto:smit@gmail.com" TargetMode="External"/><Relationship Id="rId3" Type="http://schemas.openxmlformats.org/officeDocument/2006/relationships/hyperlink" Target="mailto:ajay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tarang@gmail.com" TargetMode="External"/><Relationship Id="rId12" Type="http://schemas.openxmlformats.org/officeDocument/2006/relationships/hyperlink" Target="mailto:darshil@gmail.com" TargetMode="External"/><Relationship Id="rId17" Type="http://schemas.openxmlformats.org/officeDocument/2006/relationships/hyperlink" Target="mailto:tarang@gmail.com" TargetMode="External"/><Relationship Id="rId2" Type="http://schemas.openxmlformats.org/officeDocument/2006/relationships/hyperlink" Target="mailto:darshil@gmail.com" TargetMode="External"/><Relationship Id="rId16" Type="http://schemas.openxmlformats.org/officeDocument/2006/relationships/hyperlink" Target="mailto:neel@gmail.com" TargetMode="External"/><Relationship Id="rId20" Type="http://schemas.openxmlformats.org/officeDocument/2006/relationships/hyperlink" Target="mailto:vijay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neel@gmail.com" TargetMode="External"/><Relationship Id="rId11" Type="http://schemas.openxmlformats.org/officeDocument/2006/relationships/hyperlink" Target="mailto:amit@gmail.com" TargetMode="External"/><Relationship Id="rId5" Type="http://schemas.openxmlformats.org/officeDocument/2006/relationships/hyperlink" Target="mailto:dilip@gmail.com" TargetMode="External"/><Relationship Id="rId15" Type="http://schemas.openxmlformats.org/officeDocument/2006/relationships/hyperlink" Target="mailto:dilip@gmail.com" TargetMode="External"/><Relationship Id="rId10" Type="http://schemas.openxmlformats.org/officeDocument/2006/relationships/hyperlink" Target="mailto:vijay@gmail.com" TargetMode="External"/><Relationship Id="rId19" Type="http://schemas.openxmlformats.org/officeDocument/2006/relationships/hyperlink" Target="mailto:jay@gmail.com" TargetMode="External"/><Relationship Id="rId4" Type="http://schemas.openxmlformats.org/officeDocument/2006/relationships/hyperlink" Target="mailto:meet@gmail.com" TargetMode="External"/><Relationship Id="rId9" Type="http://schemas.openxmlformats.org/officeDocument/2006/relationships/hyperlink" Target="mailto:jay@gmail.com" TargetMode="External"/><Relationship Id="rId14" Type="http://schemas.openxmlformats.org/officeDocument/2006/relationships/hyperlink" Target="mailto:me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FDFE-D172-4182-BF3A-46E796A9D339}">
  <dimension ref="A1:F13"/>
  <sheetViews>
    <sheetView workbookViewId="0">
      <selection activeCell="G5" sqref="G5"/>
    </sheetView>
  </sheetViews>
  <sheetFormatPr defaultRowHeight="15" x14ac:dyDescent="0.25"/>
  <cols>
    <col min="1" max="1" width="6" bestFit="1" customWidth="1"/>
    <col min="2" max="2" width="7.140625" bestFit="1" customWidth="1"/>
    <col min="3" max="3" width="4.42578125" bestFit="1" customWidth="1"/>
    <col min="4" max="4" width="18.28515625" bestFit="1" customWidth="1"/>
    <col min="5" max="5" width="11" bestFit="1" customWidth="1"/>
    <col min="6" max="6" width="7" bestFit="1" customWidth="1"/>
    <col min="7" max="7" width="11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67</v>
      </c>
      <c r="F1" s="3" t="s">
        <v>24</v>
      </c>
    </row>
    <row r="2" spans="1:6" x14ac:dyDescent="0.25">
      <c r="A2" s="9">
        <v>1</v>
      </c>
      <c r="B2" s="9" t="s">
        <v>4</v>
      </c>
      <c r="C2" s="9">
        <v>28</v>
      </c>
      <c r="D2" s="8" t="s">
        <v>14</v>
      </c>
      <c r="E2" s="9">
        <v>8344551193</v>
      </c>
      <c r="F2" s="9">
        <v>41656</v>
      </c>
    </row>
    <row r="3" spans="1:6" x14ac:dyDescent="0.25">
      <c r="A3" s="9">
        <v>2</v>
      </c>
      <c r="B3" s="9" t="s">
        <v>5</v>
      </c>
      <c r="C3" s="9">
        <v>28</v>
      </c>
      <c r="D3" s="8" t="s">
        <v>15</v>
      </c>
      <c r="E3" s="9">
        <v>9053403303</v>
      </c>
      <c r="F3" s="9">
        <v>45363</v>
      </c>
    </row>
    <row r="4" spans="1:6" x14ac:dyDescent="0.25">
      <c r="A4" s="9">
        <v>3</v>
      </c>
      <c r="B4" s="9" t="s">
        <v>6</v>
      </c>
      <c r="C4" s="9">
        <v>30</v>
      </c>
      <c r="D4" s="8" t="s">
        <v>16</v>
      </c>
      <c r="E4" s="9">
        <v>9399584516</v>
      </c>
      <c r="F4" s="9">
        <v>36726</v>
      </c>
    </row>
    <row r="5" spans="1:6" x14ac:dyDescent="0.25">
      <c r="A5" s="9">
        <v>4</v>
      </c>
      <c r="B5" s="9" t="s">
        <v>7</v>
      </c>
      <c r="C5" s="9">
        <v>27</v>
      </c>
      <c r="D5" s="8" t="s">
        <v>17</v>
      </c>
      <c r="E5" s="9">
        <v>9166919143</v>
      </c>
      <c r="F5" s="9">
        <v>47265</v>
      </c>
    </row>
    <row r="6" spans="1:6" x14ac:dyDescent="0.25">
      <c r="A6" s="9">
        <v>5</v>
      </c>
      <c r="B6" s="9" t="s">
        <v>8</v>
      </c>
      <c r="C6" s="9">
        <v>29</v>
      </c>
      <c r="D6" s="8" t="s">
        <v>18</v>
      </c>
      <c r="E6" s="9">
        <v>9251908346</v>
      </c>
      <c r="F6" s="9">
        <v>45916</v>
      </c>
    </row>
    <row r="7" spans="1:6" x14ac:dyDescent="0.25">
      <c r="A7" s="9">
        <v>6</v>
      </c>
      <c r="B7" s="9" t="s">
        <v>9</v>
      </c>
      <c r="C7" s="9">
        <v>24</v>
      </c>
      <c r="D7" s="8" t="s">
        <v>19</v>
      </c>
      <c r="E7" s="9">
        <v>7901330674</v>
      </c>
      <c r="F7" s="9">
        <v>36370</v>
      </c>
    </row>
    <row r="8" spans="1:6" x14ac:dyDescent="0.25">
      <c r="A8" s="9">
        <v>7</v>
      </c>
      <c r="B8" s="9" t="s">
        <v>10</v>
      </c>
      <c r="C8" s="9">
        <v>20</v>
      </c>
      <c r="D8" s="8" t="s">
        <v>20</v>
      </c>
      <c r="E8" s="9">
        <v>8870535247</v>
      </c>
      <c r="F8" s="9">
        <v>45399</v>
      </c>
    </row>
    <row r="9" spans="1:6" x14ac:dyDescent="0.25">
      <c r="A9" s="9">
        <v>8</v>
      </c>
      <c r="B9" s="9" t="s">
        <v>11</v>
      </c>
      <c r="C9" s="9">
        <v>28</v>
      </c>
      <c r="D9" s="8" t="s">
        <v>21</v>
      </c>
      <c r="E9" s="9">
        <v>8277094639</v>
      </c>
      <c r="F9" s="9">
        <v>44022</v>
      </c>
    </row>
    <row r="10" spans="1:6" x14ac:dyDescent="0.25">
      <c r="A10" s="9">
        <v>9</v>
      </c>
      <c r="B10" s="9" t="s">
        <v>12</v>
      </c>
      <c r="C10" s="9">
        <v>30</v>
      </c>
      <c r="D10" s="8" t="s">
        <v>22</v>
      </c>
      <c r="E10" s="9">
        <v>8281425236</v>
      </c>
      <c r="F10" s="9">
        <v>31907</v>
      </c>
    </row>
    <row r="11" spans="1:6" x14ac:dyDescent="0.25">
      <c r="A11" s="9">
        <v>10</v>
      </c>
      <c r="B11" s="9" t="s">
        <v>13</v>
      </c>
      <c r="C11" s="9">
        <v>29</v>
      </c>
      <c r="D11" s="8" t="s">
        <v>23</v>
      </c>
      <c r="E11" s="9">
        <v>8914214428</v>
      </c>
      <c r="F11" s="9">
        <v>36971</v>
      </c>
    </row>
    <row r="12" spans="1:6" ht="15.75" thickBot="1" x14ac:dyDescent="0.3">
      <c r="A12" s="2" t="s">
        <v>25</v>
      </c>
      <c r="B12" s="2"/>
      <c r="C12" s="2"/>
      <c r="D12" s="2"/>
      <c r="E12" s="2"/>
      <c r="F12" s="10">
        <f>SUM(F2:F11)</f>
        <v>411595</v>
      </c>
    </row>
    <row r="13" spans="1:6" ht="15.75" thickTop="1" x14ac:dyDescent="0.25"/>
  </sheetData>
  <mergeCells count="1">
    <mergeCell ref="A12:E12"/>
  </mergeCells>
  <hyperlinks>
    <hyperlink ref="D2" r:id="rId1" xr:uid="{D9B4C899-A8AA-4F56-90DE-6ACE5D9F3B41}"/>
    <hyperlink ref="D4" r:id="rId2" xr:uid="{F4CE68B7-00A2-4918-AA11-50C0898C4308}"/>
    <hyperlink ref="D3" r:id="rId3" xr:uid="{19760554-AE25-4EE5-9E01-53837C37E88F}"/>
    <hyperlink ref="D5" r:id="rId4" xr:uid="{FD8ABFCB-5D01-4C7E-8223-7A1B3C4DCCC5}"/>
    <hyperlink ref="D6" r:id="rId5" xr:uid="{ED47205A-004F-464E-B29B-B1FCC87D98F7}"/>
    <hyperlink ref="D7" r:id="rId6" xr:uid="{0042EB5F-59CF-4166-9AE7-32B0C56E717F}"/>
    <hyperlink ref="D8" r:id="rId7" xr:uid="{EFCB62B2-6ACA-4EE8-B6FE-DE234BE781FA}"/>
    <hyperlink ref="D9" r:id="rId8" xr:uid="{38648797-8178-4FF2-B8CF-EFF327690DF5}"/>
    <hyperlink ref="D10" r:id="rId9" xr:uid="{58748572-DF41-43E3-8F0F-F1BCD37E5358}"/>
    <hyperlink ref="D11" r:id="rId10" xr:uid="{B9A323A7-2708-49B0-886C-133522D7A5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9FFB-2533-4C7D-8B5C-F5A81DC68710}">
  <dimension ref="A1:R11"/>
  <sheetViews>
    <sheetView zoomScale="130" zoomScaleNormal="130" workbookViewId="0">
      <selection activeCell="B2" sqref="B2:B11"/>
    </sheetView>
  </sheetViews>
  <sheetFormatPr defaultRowHeight="15" x14ac:dyDescent="0.25"/>
  <cols>
    <col min="1" max="1" width="6" bestFit="1" customWidth="1"/>
    <col min="2" max="2" width="10.5703125" bestFit="1" customWidth="1"/>
    <col min="3" max="3" width="9.85546875" bestFit="1" customWidth="1"/>
    <col min="4" max="4" width="14" bestFit="1" customWidth="1"/>
    <col min="5" max="5" width="14" customWidth="1"/>
    <col min="6" max="6" width="7.140625" bestFit="1" customWidth="1"/>
    <col min="7" max="7" width="7.85546875" bestFit="1" customWidth="1"/>
    <col min="8" max="8" width="4.42578125" bestFit="1" customWidth="1"/>
    <col min="9" max="9" width="6.28515625" bestFit="1" customWidth="1"/>
    <col min="10" max="10" width="12" bestFit="1" customWidth="1"/>
    <col min="11" max="11" width="18.28515625" bestFit="1" customWidth="1"/>
    <col min="15" max="15" width="18.28515625" bestFit="1" customWidth="1"/>
    <col min="16" max="16" width="10.7109375" bestFit="1" customWidth="1"/>
    <col min="17" max="17" width="7.85546875" bestFit="1" customWidth="1"/>
    <col min="18" max="18" width="17.42578125" bestFit="1" customWidth="1"/>
  </cols>
  <sheetData>
    <row r="1" spans="1:18" x14ac:dyDescent="0.25">
      <c r="A1" s="3" t="s">
        <v>0</v>
      </c>
      <c r="B1" s="3" t="s">
        <v>27</v>
      </c>
      <c r="C1" s="3" t="s">
        <v>26</v>
      </c>
      <c r="D1" s="3" t="s">
        <v>38</v>
      </c>
      <c r="E1" s="3" t="s">
        <v>68</v>
      </c>
      <c r="F1" s="4" t="s">
        <v>39</v>
      </c>
      <c r="G1" s="5"/>
      <c r="H1" s="3" t="s">
        <v>2</v>
      </c>
      <c r="I1" s="3" t="s">
        <v>24</v>
      </c>
      <c r="J1" s="3" t="s">
        <v>67</v>
      </c>
      <c r="K1" s="3" t="s">
        <v>3</v>
      </c>
      <c r="N1" s="11" t="s">
        <v>69</v>
      </c>
      <c r="O1" s="12" t="s">
        <v>50</v>
      </c>
      <c r="P1" s="12" t="s">
        <v>51</v>
      </c>
      <c r="Q1" s="12" t="s">
        <v>52</v>
      </c>
      <c r="R1" s="12" t="s">
        <v>53</v>
      </c>
    </row>
    <row r="2" spans="1:18" x14ac:dyDescent="0.25">
      <c r="A2" s="6">
        <v>1</v>
      </c>
      <c r="B2" s="6" t="s">
        <v>4</v>
      </c>
      <c r="C2" s="6" t="s">
        <v>28</v>
      </c>
      <c r="D2" s="6" t="str">
        <f>B2&amp;" "&amp;C2</f>
        <v>Amit Patel</v>
      </c>
      <c r="E2" s="6" t="s">
        <v>40</v>
      </c>
      <c r="F2" s="6" t="s">
        <v>4</v>
      </c>
      <c r="G2" s="6" t="s">
        <v>28</v>
      </c>
      <c r="H2" s="6">
        <v>28</v>
      </c>
      <c r="I2" s="6">
        <v>41656</v>
      </c>
      <c r="J2" s="6">
        <v>8344551193</v>
      </c>
      <c r="K2" s="7" t="s">
        <v>14</v>
      </c>
      <c r="N2" s="11"/>
      <c r="O2" s="13" t="s">
        <v>14</v>
      </c>
      <c r="P2" s="14" t="s">
        <v>54</v>
      </c>
      <c r="Q2" s="14" t="s">
        <v>64</v>
      </c>
      <c r="R2" s="14" t="s">
        <v>65</v>
      </c>
    </row>
    <row r="3" spans="1:18" x14ac:dyDescent="0.25">
      <c r="A3" s="6">
        <v>2</v>
      </c>
      <c r="B3" s="6" t="s">
        <v>5</v>
      </c>
      <c r="C3" s="6" t="s">
        <v>29</v>
      </c>
      <c r="D3" s="6" t="str">
        <f>B3&amp;" "&amp;C3</f>
        <v>Ajay Parekh</v>
      </c>
      <c r="E3" s="6" t="s">
        <v>41</v>
      </c>
      <c r="F3" s="6" t="s">
        <v>5</v>
      </c>
      <c r="G3" s="6" t="s">
        <v>29</v>
      </c>
      <c r="H3" s="6">
        <v>28</v>
      </c>
      <c r="I3" s="6">
        <v>45363</v>
      </c>
      <c r="J3" s="6">
        <v>9053403303</v>
      </c>
      <c r="K3" s="7" t="s">
        <v>15</v>
      </c>
      <c r="N3" s="11"/>
      <c r="O3" s="13" t="s">
        <v>15</v>
      </c>
      <c r="P3" s="14" t="s">
        <v>55</v>
      </c>
      <c r="Q3" s="14" t="s">
        <v>64</v>
      </c>
      <c r="R3" s="14" t="s">
        <v>65</v>
      </c>
    </row>
    <row r="4" spans="1:18" x14ac:dyDescent="0.25">
      <c r="A4" s="6">
        <v>3</v>
      </c>
      <c r="B4" s="6" t="s">
        <v>6</v>
      </c>
      <c r="C4" s="6" t="s">
        <v>30</v>
      </c>
      <c r="D4" s="6" t="str">
        <f>B4&amp;" "&amp;C4</f>
        <v>Darshil Parmar</v>
      </c>
      <c r="E4" s="6" t="s">
        <v>42</v>
      </c>
      <c r="F4" s="6" t="s">
        <v>6</v>
      </c>
      <c r="G4" s="6" t="s">
        <v>30</v>
      </c>
      <c r="H4" s="6">
        <v>30</v>
      </c>
      <c r="I4" s="6">
        <v>36726</v>
      </c>
      <c r="J4" s="6">
        <v>9399584516</v>
      </c>
      <c r="K4" s="7" t="s">
        <v>16</v>
      </c>
      <c r="N4" s="11"/>
      <c r="O4" s="13" t="s">
        <v>16</v>
      </c>
      <c r="P4" s="14" t="s">
        <v>56</v>
      </c>
      <c r="Q4" s="14" t="s">
        <v>64</v>
      </c>
      <c r="R4" s="14" t="s">
        <v>65</v>
      </c>
    </row>
    <row r="5" spans="1:18" x14ac:dyDescent="0.25">
      <c r="A5" s="6">
        <v>4</v>
      </c>
      <c r="B5" s="6" t="s">
        <v>7</v>
      </c>
      <c r="C5" s="6" t="s">
        <v>31</v>
      </c>
      <c r="D5" s="6" t="str">
        <f>B5&amp;" "&amp;C5</f>
        <v>Meet Soni</v>
      </c>
      <c r="E5" s="6" t="s">
        <v>43</v>
      </c>
      <c r="F5" s="6" t="s">
        <v>7</v>
      </c>
      <c r="G5" s="6" t="s">
        <v>31</v>
      </c>
      <c r="H5" s="6">
        <v>27</v>
      </c>
      <c r="I5" s="6">
        <v>47265</v>
      </c>
      <c r="J5" s="6">
        <v>9166919143</v>
      </c>
      <c r="K5" s="7" t="s">
        <v>17</v>
      </c>
      <c r="N5" s="11"/>
      <c r="O5" s="13" t="s">
        <v>17</v>
      </c>
      <c r="P5" s="14" t="s">
        <v>57</v>
      </c>
      <c r="Q5" s="14" t="s">
        <v>64</v>
      </c>
      <c r="R5" s="14" t="s">
        <v>65</v>
      </c>
    </row>
    <row r="6" spans="1:18" x14ac:dyDescent="0.25">
      <c r="A6" s="6">
        <v>5</v>
      </c>
      <c r="B6" s="6" t="s">
        <v>8</v>
      </c>
      <c r="C6" s="6" t="s">
        <v>32</v>
      </c>
      <c r="D6" s="6" t="str">
        <f>B6&amp;" "&amp;C6</f>
        <v>Dilip Verma</v>
      </c>
      <c r="E6" s="6" t="s">
        <v>44</v>
      </c>
      <c r="F6" s="6" t="s">
        <v>8</v>
      </c>
      <c r="G6" s="6" t="s">
        <v>32</v>
      </c>
      <c r="H6" s="6">
        <v>29</v>
      </c>
      <c r="I6" s="6">
        <v>45916</v>
      </c>
      <c r="J6" s="6">
        <v>9251908346</v>
      </c>
      <c r="K6" s="7" t="s">
        <v>18</v>
      </c>
      <c r="N6" s="11"/>
      <c r="O6" s="13" t="s">
        <v>18</v>
      </c>
      <c r="P6" s="14" t="s">
        <v>58</v>
      </c>
      <c r="Q6" s="14" t="s">
        <v>64</v>
      </c>
      <c r="R6" s="14" t="s">
        <v>65</v>
      </c>
    </row>
    <row r="7" spans="1:18" x14ac:dyDescent="0.25">
      <c r="A7" s="6">
        <v>6</v>
      </c>
      <c r="B7" s="6" t="s">
        <v>9</v>
      </c>
      <c r="C7" s="6" t="s">
        <v>33</v>
      </c>
      <c r="D7" s="6" t="str">
        <f>B7&amp;" "&amp;C7</f>
        <v>Neel Thakkar</v>
      </c>
      <c r="E7" s="6" t="s">
        <v>45</v>
      </c>
      <c r="F7" s="6" t="s">
        <v>9</v>
      </c>
      <c r="G7" s="6" t="s">
        <v>33</v>
      </c>
      <c r="H7" s="6">
        <v>24</v>
      </c>
      <c r="I7" s="6">
        <v>36370</v>
      </c>
      <c r="J7" s="6">
        <v>7901330674</v>
      </c>
      <c r="K7" s="7" t="s">
        <v>19</v>
      </c>
      <c r="N7" s="11"/>
      <c r="O7" s="13" t="s">
        <v>19</v>
      </c>
      <c r="P7" s="14" t="s">
        <v>59</v>
      </c>
      <c r="Q7" s="14" t="s">
        <v>64</v>
      </c>
      <c r="R7" s="14" t="s">
        <v>65</v>
      </c>
    </row>
    <row r="8" spans="1:18" x14ac:dyDescent="0.25">
      <c r="A8" s="6">
        <v>7</v>
      </c>
      <c r="B8" s="6" t="s">
        <v>10</v>
      </c>
      <c r="C8" s="6" t="s">
        <v>34</v>
      </c>
      <c r="D8" s="6" t="str">
        <f>B8&amp;" "&amp;C8</f>
        <v>Tarang Shah</v>
      </c>
      <c r="E8" s="6" t="s">
        <v>46</v>
      </c>
      <c r="F8" s="6" t="s">
        <v>10</v>
      </c>
      <c r="G8" s="6" t="s">
        <v>34</v>
      </c>
      <c r="H8" s="6">
        <v>20</v>
      </c>
      <c r="I8" s="6">
        <v>45399</v>
      </c>
      <c r="J8" s="6">
        <v>8870535247</v>
      </c>
      <c r="K8" s="7" t="s">
        <v>20</v>
      </c>
      <c r="N8" s="11"/>
      <c r="O8" s="13" t="s">
        <v>20</v>
      </c>
      <c r="P8" s="14" t="s">
        <v>60</v>
      </c>
      <c r="Q8" s="14" t="s">
        <v>64</v>
      </c>
      <c r="R8" s="14" t="s">
        <v>65</v>
      </c>
    </row>
    <row r="9" spans="1:18" x14ac:dyDescent="0.25">
      <c r="A9" s="6">
        <v>8</v>
      </c>
      <c r="B9" s="6" t="s">
        <v>11</v>
      </c>
      <c r="C9" s="6" t="s">
        <v>35</v>
      </c>
      <c r="D9" s="6" t="str">
        <f>B9&amp;" "&amp;C9</f>
        <v>Smit Sheth</v>
      </c>
      <c r="E9" s="6" t="s">
        <v>47</v>
      </c>
      <c r="F9" s="6" t="s">
        <v>11</v>
      </c>
      <c r="G9" s="6" t="s">
        <v>35</v>
      </c>
      <c r="H9" s="6">
        <v>28</v>
      </c>
      <c r="I9" s="6">
        <v>44022</v>
      </c>
      <c r="J9" s="6">
        <v>8277094639</v>
      </c>
      <c r="K9" s="7" t="s">
        <v>21</v>
      </c>
      <c r="N9" s="11"/>
      <c r="O9" s="13" t="s">
        <v>21</v>
      </c>
      <c r="P9" s="14" t="s">
        <v>61</v>
      </c>
      <c r="Q9" s="14" t="s">
        <v>64</v>
      </c>
      <c r="R9" s="14" t="s">
        <v>65</v>
      </c>
    </row>
    <row r="10" spans="1:18" x14ac:dyDescent="0.25">
      <c r="A10" s="6">
        <v>9</v>
      </c>
      <c r="B10" s="6" t="s">
        <v>12</v>
      </c>
      <c r="C10" s="6" t="s">
        <v>36</v>
      </c>
      <c r="D10" s="6" t="str">
        <f>B10&amp;" "&amp;C10</f>
        <v>Jay Jami</v>
      </c>
      <c r="E10" s="6" t="s">
        <v>48</v>
      </c>
      <c r="F10" s="6" t="s">
        <v>12</v>
      </c>
      <c r="G10" s="6" t="s">
        <v>36</v>
      </c>
      <c r="H10" s="6">
        <v>30</v>
      </c>
      <c r="I10" s="6">
        <v>31907</v>
      </c>
      <c r="J10" s="6">
        <v>8281425236</v>
      </c>
      <c r="K10" s="7" t="s">
        <v>22</v>
      </c>
      <c r="N10" s="11"/>
      <c r="O10" s="13" t="s">
        <v>22</v>
      </c>
      <c r="P10" s="14" t="s">
        <v>62</v>
      </c>
      <c r="Q10" s="14" t="s">
        <v>64</v>
      </c>
      <c r="R10" s="14" t="s">
        <v>65</v>
      </c>
    </row>
    <row r="11" spans="1:18" x14ac:dyDescent="0.25">
      <c r="A11" s="6">
        <v>10</v>
      </c>
      <c r="B11" s="6" t="s">
        <v>13</v>
      </c>
      <c r="C11" s="6" t="s">
        <v>37</v>
      </c>
      <c r="D11" s="6" t="str">
        <f>B11&amp;" "&amp;C11</f>
        <v>Vijay Naik</v>
      </c>
      <c r="E11" s="6" t="s">
        <v>49</v>
      </c>
      <c r="F11" s="6" t="s">
        <v>13</v>
      </c>
      <c r="G11" s="6" t="s">
        <v>37</v>
      </c>
      <c r="H11" s="6">
        <v>29</v>
      </c>
      <c r="I11" s="6">
        <v>36971</v>
      </c>
      <c r="J11" s="6">
        <v>8914214428</v>
      </c>
      <c r="K11" s="7" t="s">
        <v>66</v>
      </c>
      <c r="N11" s="11"/>
      <c r="O11" s="13" t="s">
        <v>66</v>
      </c>
      <c r="P11" s="14" t="s">
        <v>63</v>
      </c>
      <c r="Q11" s="14" t="s">
        <v>64</v>
      </c>
      <c r="R11" s="14" t="s">
        <v>65</v>
      </c>
    </row>
  </sheetData>
  <mergeCells count="2">
    <mergeCell ref="F1:G1"/>
    <mergeCell ref="N1:N11"/>
  </mergeCells>
  <hyperlinks>
    <hyperlink ref="K2" r:id="rId1" xr:uid="{0B3E7541-EF41-43CA-8D9C-ECEA554F289F}"/>
    <hyperlink ref="K4" r:id="rId2" xr:uid="{74813DC7-53C6-4B48-B2AD-E808AF835E00}"/>
    <hyperlink ref="K3" r:id="rId3" xr:uid="{6456C4FD-EA7D-44D0-81CB-0FA065D40766}"/>
    <hyperlink ref="K5" r:id="rId4" xr:uid="{742D15FE-0492-445B-8F90-7950F7142C9F}"/>
    <hyperlink ref="K6" r:id="rId5" xr:uid="{DC4A413B-A8A3-44FA-A473-1018C687C485}"/>
    <hyperlink ref="K7" r:id="rId6" xr:uid="{44404A11-56B3-41CA-A9D6-E5DFAD8CBF4E}"/>
    <hyperlink ref="K8" r:id="rId7" xr:uid="{5E80B9D8-48D8-467D-AC9A-F4D7C6DEB562}"/>
    <hyperlink ref="K9" r:id="rId8" xr:uid="{9992D6A9-9A98-47A1-A323-2575D00FDFD8}"/>
    <hyperlink ref="K10" r:id="rId9" xr:uid="{C060007A-9B43-4670-AE38-C6003BD80749}"/>
    <hyperlink ref="K11" r:id="rId10" xr:uid="{CD3D6ACA-2772-4886-9E98-FA6B6A879F61}"/>
    <hyperlink ref="O2" r:id="rId11" xr:uid="{8C230E86-EA4E-4971-A4FB-D9348ED65F59}"/>
    <hyperlink ref="O4" r:id="rId12" xr:uid="{63D50994-BA5A-4D93-A0DA-BF956CF1EB03}"/>
    <hyperlink ref="O3" r:id="rId13" xr:uid="{B9F8B8E1-80B7-4AFB-92CC-91CCA4EA09A2}"/>
    <hyperlink ref="O5" r:id="rId14" xr:uid="{9731CF7A-9506-453E-97BC-1D5D878EF0DA}"/>
    <hyperlink ref="O6" r:id="rId15" xr:uid="{A0AD86CC-C538-4E22-A32E-0AC5ACCCB1D9}"/>
    <hyperlink ref="O7" r:id="rId16" xr:uid="{41C16485-44A9-4F03-9647-99779285E006}"/>
    <hyperlink ref="O8" r:id="rId17" xr:uid="{49465E4B-3CB9-4AA2-B4DC-B3BF8FEA7B99}"/>
    <hyperlink ref="O9" r:id="rId18" xr:uid="{61A19FE7-5B2E-4A31-B187-88FF7A8BD8E7}"/>
    <hyperlink ref="O10" r:id="rId19" xr:uid="{243C0EC6-9D66-4E3D-BC76-AAEA73102652}"/>
    <hyperlink ref="O11" r:id="rId20" xr:uid="{BD966C1B-6AA5-4E8D-8433-08BDB1BA9A15}"/>
  </hyperlinks>
  <pageMargins left="0.7" right="0.7" top="0.75" bottom="0.75" header="0.3" footer="0.3"/>
  <pageSetup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3345-0EEF-4A53-BADB-10D689F4C764}">
  <dimension ref="A1:J11"/>
  <sheetViews>
    <sheetView tabSelected="1" zoomScale="140" zoomScaleNormal="140" workbookViewId="0">
      <selection activeCell="K1" sqref="K1"/>
    </sheetView>
  </sheetViews>
  <sheetFormatPr defaultRowHeight="15" x14ac:dyDescent="0.25"/>
  <cols>
    <col min="1" max="1" width="9.140625" customWidth="1"/>
    <col min="2" max="2" width="10.28515625" customWidth="1"/>
    <col min="3" max="3" width="8.7109375" customWidth="1"/>
    <col min="4" max="4" width="9.28515625" customWidth="1"/>
    <col min="5" max="5" width="9.5703125" customWidth="1"/>
    <col min="6" max="6" width="8.42578125" customWidth="1"/>
    <col min="7" max="7" width="8.140625" customWidth="1"/>
    <col min="8" max="8" width="7.140625" customWidth="1"/>
    <col min="9" max="9" width="7.42578125" customWidth="1"/>
    <col min="10" max="10" width="8.42578125" customWidth="1"/>
  </cols>
  <sheetData>
    <row r="1" spans="1:10" x14ac:dyDescent="0.25">
      <c r="A1" s="15" t="s">
        <v>70</v>
      </c>
      <c r="B1" s="15" t="s">
        <v>71</v>
      </c>
      <c r="C1" s="15" t="s">
        <v>72</v>
      </c>
      <c r="D1" s="15" t="s">
        <v>73</v>
      </c>
      <c r="E1" s="15" t="s">
        <v>74</v>
      </c>
      <c r="F1" s="15" t="s">
        <v>75</v>
      </c>
      <c r="G1" s="15" t="s">
        <v>76</v>
      </c>
      <c r="H1" s="15" t="s">
        <v>77</v>
      </c>
      <c r="I1" s="15" t="s">
        <v>78</v>
      </c>
      <c r="J1" s="15" t="s">
        <v>79</v>
      </c>
    </row>
    <row r="2" spans="1:10" x14ac:dyDescent="0.25">
      <c r="A2" s="6" t="s">
        <v>4</v>
      </c>
      <c r="B2" s="1">
        <v>75</v>
      </c>
      <c r="C2" s="1">
        <v>78</v>
      </c>
      <c r="D2" s="1">
        <v>87</v>
      </c>
      <c r="E2" s="1">
        <v>85</v>
      </c>
      <c r="F2" s="1">
        <v>93</v>
      </c>
      <c r="G2" s="1">
        <f>SUM(B2:F2)</f>
        <v>418</v>
      </c>
      <c r="H2" s="1">
        <f>MAX(B2:F2)</f>
        <v>93</v>
      </c>
      <c r="I2" s="1">
        <f>MIN(B2:F2)</f>
        <v>75</v>
      </c>
      <c r="J2" s="1">
        <f>AVERAGE(B2:F2)</f>
        <v>83.6</v>
      </c>
    </row>
    <row r="3" spans="1:10" x14ac:dyDescent="0.25">
      <c r="A3" s="6" t="s">
        <v>5</v>
      </c>
      <c r="B3" s="1">
        <v>85</v>
      </c>
      <c r="C3" s="1">
        <v>80</v>
      </c>
      <c r="D3" s="1">
        <v>65</v>
      </c>
      <c r="E3" s="1">
        <v>78</v>
      </c>
      <c r="F3" s="1">
        <v>85</v>
      </c>
      <c r="G3" s="1">
        <f t="shared" ref="G3:G11" si="0">SUM(B3:F3)</f>
        <v>393</v>
      </c>
      <c r="H3" s="1">
        <f t="shared" ref="H3:H11" si="1">MAX(B3:F3)</f>
        <v>85</v>
      </c>
      <c r="I3" s="1">
        <f t="shared" ref="I3:I11" si="2">MIN(B3:F3)</f>
        <v>65</v>
      </c>
      <c r="J3" s="1">
        <f t="shared" ref="J3:J11" si="3">AVERAGE(B3:F3)</f>
        <v>78.599999999999994</v>
      </c>
    </row>
    <row r="4" spans="1:10" x14ac:dyDescent="0.25">
      <c r="A4" s="6" t="s">
        <v>6</v>
      </c>
      <c r="B4" s="1">
        <v>75</v>
      </c>
      <c r="C4" s="1">
        <v>85</v>
      </c>
      <c r="D4" s="1">
        <v>75</v>
      </c>
      <c r="E4" s="1">
        <v>75</v>
      </c>
      <c r="F4" s="1">
        <v>75</v>
      </c>
      <c r="G4" s="1">
        <f t="shared" si="0"/>
        <v>385</v>
      </c>
      <c r="H4" s="1">
        <f t="shared" si="1"/>
        <v>85</v>
      </c>
      <c r="I4" s="1">
        <f t="shared" si="2"/>
        <v>75</v>
      </c>
      <c r="J4" s="1">
        <f t="shared" si="3"/>
        <v>77</v>
      </c>
    </row>
    <row r="5" spans="1:10" x14ac:dyDescent="0.25">
      <c r="A5" s="6" t="s">
        <v>7</v>
      </c>
      <c r="B5" s="1">
        <v>78</v>
      </c>
      <c r="C5" s="1">
        <v>80</v>
      </c>
      <c r="D5" s="1">
        <v>78</v>
      </c>
      <c r="E5" s="1">
        <v>78</v>
      </c>
      <c r="F5" s="1">
        <v>78</v>
      </c>
      <c r="G5" s="1">
        <f t="shared" si="0"/>
        <v>392</v>
      </c>
      <c r="H5" s="1">
        <f t="shared" si="1"/>
        <v>80</v>
      </c>
      <c r="I5" s="1">
        <f t="shared" si="2"/>
        <v>78</v>
      </c>
      <c r="J5" s="1">
        <f t="shared" si="3"/>
        <v>78.400000000000006</v>
      </c>
    </row>
    <row r="6" spans="1:10" x14ac:dyDescent="0.25">
      <c r="A6" s="6" t="s">
        <v>8</v>
      </c>
      <c r="B6" s="1">
        <v>87</v>
      </c>
      <c r="C6" s="1">
        <v>65</v>
      </c>
      <c r="D6" s="1">
        <v>87</v>
      </c>
      <c r="E6" s="1">
        <v>87</v>
      </c>
      <c r="F6" s="1">
        <v>87</v>
      </c>
      <c r="G6" s="1">
        <f t="shared" si="0"/>
        <v>413</v>
      </c>
      <c r="H6" s="1">
        <f t="shared" si="1"/>
        <v>87</v>
      </c>
      <c r="I6" s="1">
        <f t="shared" si="2"/>
        <v>65</v>
      </c>
      <c r="J6" s="1">
        <f t="shared" si="3"/>
        <v>82.6</v>
      </c>
    </row>
    <row r="7" spans="1:10" x14ac:dyDescent="0.25">
      <c r="A7" s="6" t="s">
        <v>9</v>
      </c>
      <c r="B7" s="1">
        <v>85</v>
      </c>
      <c r="C7" s="1">
        <v>78</v>
      </c>
      <c r="D7" s="1">
        <v>85</v>
      </c>
      <c r="E7" s="1">
        <v>85</v>
      </c>
      <c r="F7" s="1">
        <v>85</v>
      </c>
      <c r="G7" s="1">
        <f t="shared" si="0"/>
        <v>418</v>
      </c>
      <c r="H7" s="1">
        <f t="shared" si="1"/>
        <v>85</v>
      </c>
      <c r="I7" s="1">
        <f t="shared" si="2"/>
        <v>78</v>
      </c>
      <c r="J7" s="1">
        <f t="shared" si="3"/>
        <v>83.6</v>
      </c>
    </row>
    <row r="8" spans="1:10" x14ac:dyDescent="0.25">
      <c r="A8" s="6" t="s">
        <v>10</v>
      </c>
      <c r="B8" s="1">
        <v>93</v>
      </c>
      <c r="C8" s="1">
        <v>85</v>
      </c>
      <c r="D8" s="1">
        <v>93</v>
      </c>
      <c r="E8" s="1">
        <v>93</v>
      </c>
      <c r="F8" s="1">
        <v>93</v>
      </c>
      <c r="G8" s="1">
        <f t="shared" si="0"/>
        <v>457</v>
      </c>
      <c r="H8" s="1">
        <f t="shared" si="1"/>
        <v>93</v>
      </c>
      <c r="I8" s="1">
        <f t="shared" si="2"/>
        <v>85</v>
      </c>
      <c r="J8" s="1">
        <f t="shared" si="3"/>
        <v>91.4</v>
      </c>
    </row>
    <row r="9" spans="1:10" x14ac:dyDescent="0.25">
      <c r="A9" s="6" t="s">
        <v>11</v>
      </c>
      <c r="B9" s="1">
        <v>85</v>
      </c>
      <c r="C9" s="1">
        <v>80</v>
      </c>
      <c r="D9" s="1">
        <v>65</v>
      </c>
      <c r="E9" s="1">
        <v>78</v>
      </c>
      <c r="F9" s="1">
        <v>85</v>
      </c>
      <c r="G9" s="1">
        <f t="shared" si="0"/>
        <v>393</v>
      </c>
      <c r="H9" s="1">
        <f t="shared" si="1"/>
        <v>85</v>
      </c>
      <c r="I9" s="1">
        <f t="shared" si="2"/>
        <v>65</v>
      </c>
      <c r="J9" s="1">
        <f t="shared" si="3"/>
        <v>78.599999999999994</v>
      </c>
    </row>
    <row r="10" spans="1:10" x14ac:dyDescent="0.25">
      <c r="A10" s="6" t="s">
        <v>12</v>
      </c>
      <c r="B10" s="1">
        <v>75</v>
      </c>
      <c r="C10" s="1">
        <v>85</v>
      </c>
      <c r="D10" s="1">
        <v>75</v>
      </c>
      <c r="E10" s="1">
        <v>75</v>
      </c>
      <c r="F10" s="1">
        <v>75</v>
      </c>
      <c r="G10" s="1">
        <f t="shared" si="0"/>
        <v>385</v>
      </c>
      <c r="H10" s="1">
        <f t="shared" si="1"/>
        <v>85</v>
      </c>
      <c r="I10" s="1">
        <f t="shared" si="2"/>
        <v>75</v>
      </c>
      <c r="J10" s="1">
        <f t="shared" si="3"/>
        <v>77</v>
      </c>
    </row>
    <row r="11" spans="1:10" x14ac:dyDescent="0.25">
      <c r="A11" s="6" t="s">
        <v>13</v>
      </c>
      <c r="B11" s="1">
        <v>78</v>
      </c>
      <c r="C11" s="1">
        <v>80</v>
      </c>
      <c r="D11" s="1">
        <v>78</v>
      </c>
      <c r="E11" s="1">
        <v>78</v>
      </c>
      <c r="F11" s="1">
        <v>78</v>
      </c>
      <c r="G11" s="1">
        <f t="shared" si="0"/>
        <v>392</v>
      </c>
      <c r="H11" s="1">
        <f t="shared" si="1"/>
        <v>80</v>
      </c>
      <c r="I11" s="1">
        <f t="shared" si="2"/>
        <v>78</v>
      </c>
      <c r="J11" s="1">
        <f t="shared" si="3"/>
        <v>78.400000000000006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data entry</vt:lpstr>
      <vt:lpstr>basic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ASDC13</dc:creator>
  <cp:lastModifiedBy>ASDC13</cp:lastModifiedBy>
  <dcterms:created xsi:type="dcterms:W3CDTF">2026-01-18T05:40:42Z</dcterms:created>
  <dcterms:modified xsi:type="dcterms:W3CDTF">2026-01-18T07:18:49Z</dcterms:modified>
</cp:coreProperties>
</file>